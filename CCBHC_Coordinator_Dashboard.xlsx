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2fbfe1408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2abf9bd4c84761"/>
    <x:sheet xmlns:r="http://schemas.openxmlformats.org/officeDocument/2006/relationships" name="Roster" sheetId="2" r:id="Rf545a52c78f44095"/>
    <x:sheet xmlns:r="http://schemas.openxmlformats.org/officeDocument/2006/relationships" name="Work queue" sheetId="3" r:id="R4de110d2c5bc4a61"/>
    <x:sheet xmlns:r="http://schemas.openxmlformats.org/officeDocument/2006/relationships" name="Issues" sheetId="4" r:id="R9cb627ed926b4f7f"/>
    <x:sheet xmlns:r="http://schemas.openxmlformats.org/officeDocument/2006/relationships" name="Source assumptions" sheetId="5" r:id="R78415518f70e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@"/>
    <x:numFmt numFmtId="202" formatCode="0.0%"/>
  </x:numFmts>
  <x:fonts count="7">
    <x:font>
      <x:sz val="11"/>
      <x:name val="Carlito"/>
    </x:font>
    <x:font>
      <x:sz val="11"/>
      <x:color rgb="FF243447"/>
      <x:name val="Arial"/>
    </x:font>
    <x:font>
      <x:b/>
      <x:sz val="16"/>
      <x:color rgb="FF23364D"/>
      <x:name val="Arial"/>
    </x:font>
    <x:font>
      <x:b/>
      <x:sz val="11"/>
      <x:color rgb="FFFFFFFF"/>
      <x:name val="Arial"/>
    </x:font>
    <x:font>
      <x:b/>
      <x:sz val="12"/>
      <x:color rgb="FF243447"/>
      <x:name val="Arial"/>
    </x:font>
    <x:font>
      <x:b/>
      <x:sz val="12"/>
      <x:color rgb="FFFFFFFF"/>
      <x:name val="Arial"/>
    </x:font>
    <x:font>
      <x:sz val="11"/>
      <x:color rgb="FF5365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9EB"/>
      </x:patternFill>
    </x:fill>
    <x:fill>
      <x:patternFill patternType="solid">
        <x:fgColor rgb="FFEDF2F7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FF0C2"/>
        </x:patternFill>
      </x:fill>
    </x:dxf>
    <x:dxf>
      <x:font>
        <x:color rgb="FF8C2929"/>
      </x:font>
      <x:fill>
        <x:patternFill patternType="solid">
          <x:bgColor rgb="FFFFF0C2"/>
        </x:patternFill>
      </x:fill>
    </x:dxf>
    <x:dxf>
      <x:font>
        <x:color rgb="FF8C2929"/>
      </x:font>
      <x:fill>
        <x:patternFill patternType="solid">
          <x:bgColor rgb="FFFFF0C2"/>
        </x:patternFill>
      </x:fill>
    </x:dxf>
    <x:dxf>
      <x:font>
        <x:color rgb="FF8C2929"/>
      </x:font>
      <x:fill>
        <x:patternFill patternType="solid">
          <x:bgColor rgb="FFFFF0C2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  <x:dxf>
      <x:font>
        <x:color rgb="FF8C2929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b644fba75470f" /><Relationship Type="http://schemas.openxmlformats.org/officeDocument/2006/relationships/theme" Target="/xl/theme/theme1.xml" Id="R833be63b5dea4954" /><Relationship Type="http://schemas.openxmlformats.org/officeDocument/2006/relationships/sharedStrings" Target="/xl/sharedStrings.xml" Id="R5872caf9869c412c" /><Relationship Type="http://schemas.openxmlformats.org/officeDocument/2006/relationships/worksheet" Target="/xl/worksheets/sheet1.xml" Id="R6f2abf9bd4c84761" /><Relationship Type="http://schemas.openxmlformats.org/officeDocument/2006/relationships/worksheet" Target="/xl/worksheets/sheet2.xml" Id="Rf545a52c78f44095" /><Relationship Type="http://schemas.openxmlformats.org/officeDocument/2006/relationships/worksheet" Target="/xl/worksheets/sheet3.xml" Id="R4de110d2c5bc4a61" /><Relationship Type="http://schemas.openxmlformats.org/officeDocument/2006/relationships/worksheet" Target="/xl/worksheets/sheet4.xml" Id="R9cb627ed926b4f7f" /><Relationship Type="http://schemas.openxmlformats.org/officeDocument/2006/relationships/worksheet" Target="/xl/worksheets/sheet5.xml" Id="R78415518f70e46a3" /></Relationships>
</file>

<file path=xl/tables/table1.xml><?xml version="1.0" encoding="utf-8"?>
<x:table xmlns:x="http://schemas.openxmlformats.org/spreadsheetml/2006/main" id="4" name="RosterTable" displayName="RosterTable" ref="A5:M205" headerRowCount="1" totalsRowCount="0" totalsRowShown="0">
  <x:tableColumns count="13">
    <x:tableColumn id="1" name="Client ID"/>
    <x:tableColumn id="2" name="Site"/>
    <x:tableColumn id="3" name="Entry date"/>
    <x:tableColumn id="4" name="Source sequence"/>
    <x:tableColumn id="5" name="Sample decision"/>
    <x:tableColumn id="6" name="Selected date"/>
    <x:tableColumn id="7" name="Selection basis / evidence"/>
    <x:tableColumn id="8" name="Arise sample flag"/>
    <x:tableColumn id="9" name="Coordinator"/>
    <x:tableColumn id="10" name="Source / batch reference"/>
    <x:tableColumn id="11" name="Last verified"/>
    <x:tableColumn id="12" name="Record check"/>
    <x:tableColumn id="13" name="Task set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Table" displayName="WorkTable" ref="A5:AD205" headerRowCount="1" totalsRowCount="0" totalsRowShown="0">
  <x:autoFilter ref="A5:AD205"/>
  <x:tableColumns count="30">
    <x:tableColumn id="1" name="Task ID"/>
    <x:tableColumn id="2" name="Client ID"/>
    <x:tableColumn id="3" name="Site (lookup)"/>
    <x:tableColumn id="4" name="Cycle"/>
    <x:tableColumn id="5" name="Cycle anchor date"/>
    <x:tableColumn id="6" name="Instrument"/>
    <x:tableColumn id="7" name="Version"/>
    <x:tableColumn id="8" name="Owner / receiver"/>
    <x:tableColumn id="9" name="Due date"/>
    <x:tableColumn id="10" name="Due date authority"/>
    <x:tableColumn id="11" name="Collection status"/>
    <x:tableColumn id="12" name="Sent date"/>
    <x:tableColumn id="13" name="Acknowledged date"/>
    <x:tableColumn id="14" name="Offered date"/>
    <x:tableColumn id="15" name="Received / completed date"/>
    <x:tableColumn id="16" name="Last contact date"/>
    <x:tableColumn id="17" name="Next action"/>
    <x:tableColumn id="18" name="Next action date"/>
    <x:tableColumn id="19" name="Source review"/>
    <x:tableColumn id="20" name="Source evidence / batch"/>
    <x:tableColumn id="21" name="SPARS status"/>
    <x:tableColumn id="22" name="SPARS receipt date"/>
    <x:tableColumn id="23" name="SPARS evidence / exception"/>
    <x:tableColumn id="24" name="Last verified"/>
    <x:tableColumn id="25" name="Due view"/>
    <x:tableColumn id="26" name="Handoff view"/>
    <x:tableColumn id="27" name="Record check"/>
    <x:tableColumn id="28" name="Period cohort"/>
    <x:tableColumn id="29" name="Receipt indicator"/>
    <x:tableColumn id="30" name="SPARS verified indi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ssuesTable" displayName="IssuesTable" ref="A5:O205" headerRowCount="1" totalsRowCount="0" totalsRowShown="0">
  <x:tableColumns count="15">
    <x:tableColumn id="1" name="Issue ID"/>
    <x:tableColumn id="2" name="Task / client / batch ID"/>
    <x:tableColumn id="3" name="Site / scope"/>
    <x:tableColumn id="4" name="Stage"/>
    <x:tableColumn id="5" name="Missing item"/>
    <x:tableColumn id="6" name="Observation / evidence"/>
    <x:tableColumn id="7" name="Owner"/>
    <x:tableColumn id="8" name="Opened date"/>
    <x:tableColumn id="9" name="Status"/>
    <x:tableColumn id="10" name="Next action"/>
    <x:tableColumn id="11" name="Action due"/>
    <x:tableColumn id="12" name="Resolved date"/>
    <x:tableColumn id="13" name="Resolution evidence"/>
    <x:tableColumn id="14" name="Issue view"/>
    <x:tableColumn id="15" name="Missing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dadf84ee0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fe1fe1d51449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b52662c5264d55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42" hidden="0" customWidth="1"/>
    <x:col min="2" max="2" width="21" hidden="0" customWidth="1"/>
    <x:col min="3" max="3" width="3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3" customHeight="1">
      <x:c r="A2" s="2" t="str">
        <x:v>CCBHC coordinator dashboard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3" customHeight="1">
      <x:c r="A4" s="1" t="str">
        <x:v>As-of date</x:v>
      </x:c>
      <x:c r="B4" s="11" t="n">
        <x:v>46274</x:v>
      </x:c>
      <x:c r="C4" s="1"/>
      <x:c r="D4" s="16" t="str">
        <x:v>Editable snapshot date. Refresh it when reviewing work.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23" customHeight="1">
      <x:c r="A5" s="1" t="str">
        <x:v>Due-soon horizon (days)</x:v>
      </x:c>
      <x:c r="B5" s="10" t="n">
        <x:v>7</x:v>
      </x:c>
      <x:c r="C5" s="1"/>
      <x:c r="D5" s="16" t="str">
        <x:v>Proposed planning horizon only; this is not a federal deadline.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23" customHeight="1">
      <x:c r="A6" s="1" t="str">
        <x:v>Cohort due-date start</x:v>
      </x:c>
      <x:c r="B6" s="11" t="n">
        <x:v>46266</x:v>
      </x:c>
      <x:c r="C6" s="1"/>
      <x:c r="D6" s="16" t="str">
        <x:v>Initial planning period: September 2026. Change for October review.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23" customHeight="1">
      <x:c r="A7" s="1" t="str">
        <x:v>Cohort due-date end</x:v>
      </x:c>
      <x:c r="B7" s="11" t="n">
        <x:v>46295</x:v>
      </x:c>
      <x:c r="C7" s="1"/>
      <x:c r="D7" s="16" t="str">
        <x:v>All cohort measures use the confirmed due date, inclusive of both dates.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23" customHeight="1">
      <x:c r="A8" s="1"/>
      <x:c r="B8" s="1"/>
      <x:c r="C8" s="1"/>
      <x:c r="D8" s="16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23" customHeight="1">
      <x:c r="A9" s="1" t="str">
        <x:v>Loaded roster rows</x:v>
      </x:c>
      <x:c r="B9" s="13" t="n">
        <x:f>COUNTIFS('Roster'!$A$6:$A$205,"&lt;&gt;")</x:f>
        <x:v>0</x:v>
      </x:c>
      <x:c r="C9" s="1"/>
      <x:c r="D9" s="16" t="str">
        <x:v>Counts describe entered rows. Resolve duplicates before reporting people.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23" customHeight="1">
      <x:c r="A10" s="1" t="str">
        <x:v>Selected roster rows</x:v>
      </x:c>
      <x:c r="B10" s="13" t="n">
        <x:f>COUNTIFS('Roster'!$E$6:$E$205,"Selected")</x:f>
        <x:v>0</x:v>
      </x:c>
      <x:c r="C10" s="1"/>
      <x:c r="D10" s="16" t="str">
        <x:f>IF(B9+B15=0,"No client records loaded. Blank starter, not program results.","Review coverage and duplicate flags before reporting upward.")</x:f>
        <x:v>No client records loaded. Blank starter, not program results.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23" customHeight="1">
      <x:c r="A11" s="1" t="str">
        <x:v>Sampling decision pending</x:v>
      </x:c>
      <x:c r="B11" s="13" t="n">
        <x:f>COUNTIFS('Roster'!$E$6:$E$205,"Pending review")</x:f>
        <x:v>0</x:v>
      </x:c>
      <x:c r="C11" s="1"/>
      <x:c r="D11" s="16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23" customHeight="1">
      <x:c r="A12" s="1" t="str">
        <x:v>Roster records needing review</x:v>
      </x:c>
      <x:c r="B12" s="13" t="n">
        <x:f>COUNTIFS('Roster'!$A$6:$A$205,"&lt;&gt;",'Roster'!$L$6:$L$205,"&lt;&gt;Recorded")</x:f>
        <x:v>0</x:v>
      </x:c>
      <x:c r="C12" s="1"/>
      <x:c r="D12" s="16" t="str">
        <x:v>A complete roster is needed before estimating sampling coverage.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23" customHeight="1">
      <x:c r="A13" s="1" t="str">
        <x:v>Selected clients missing A/C tasks</x:v>
      </x:c>
      <x:c r="B13" s="13" t="n">
        <x:f>COUNTIFS('Roster'!$M$6:$M$205,"Check missing A/C tasks")</x:f>
        <x:v>0</x:v>
      </x:c>
      <x:c r="C13" s="1"/>
      <x:c r="D13" s="16" t="str">
        <x:v>Roster Task setup checks for any A/C task; verify every due cycle separately.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23" customHeight="1">
      <x:c r="A14" s="4" t="str">
        <x:v>Collection work (all dates)</x:v>
      </x:c>
      <x:c r="B14" s="14"/>
      <x:c r="C14" s="1"/>
      <x:c r="D14" s="16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23" customHeight="1">
      <x:c r="A15" s="1" t="str">
        <x:v>Loaded collection tasks</x:v>
      </x:c>
      <x:c r="B15" s="13" t="n">
        <x:f>COUNTIFS('Work queue'!$A$6:$A$205,"&lt;&gt;")</x:f>
        <x:v>0</x:v>
      </x:c>
      <x:c r="C15" s="1"/>
      <x:c r="D15" s="16" t="str">
        <x:v>Filter Work queue: Due view = Overdue or Due soon.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23" customHeight="1">
      <x:c r="A16" s="1" t="str">
        <x:v>Collection overdue</x:v>
      </x:c>
      <x:c r="B16" s="13" t="n">
        <x:f>COUNTIFS('Work queue'!$Y$6:$Y$205,"Overdue")</x:f>
        <x:v>0</x:v>
      </x:c>
      <x:c r="C16" s="1"/>
      <x:c r="D16" s="16" t="str">
        <x:v>Collection closure does not establish SPARS submission.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 ht="23" customHeight="1">
      <x:c r="A17" s="1" t="str">
        <x:v>Collection due soon</x:v>
      </x:c>
      <x:c r="B17" s="13" t="n">
        <x:f>COUNTIFS('Work queue'!$Y$6:$Y$205,"Due soon")</x:f>
        <x:v>0</x:v>
      </x:c>
      <x:c r="C17" s="1"/>
      <x:c r="D17" s="16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 ht="23" customHeight="1">
      <x:c r="A18" s="1" t="str">
        <x:v>Collection date unverified</x:v>
      </x:c>
      <x:c r="B18" s="13" t="n">
        <x:f>COUNTIFS('Work queue'!$Y$6:$Y$205,"Date unverified")</x:f>
        <x:v>0</x:v>
      </x:c>
      <x:c r="C18" s="1"/>
      <x:c r="D18" s="16" t="str">
        <x:v>Enter a due date AND its authority; no month-long window is assumed.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 ht="23" customHeight="1">
      <x:c r="A19" s="1" t="str">
        <x:v>Unassigned collection tasks</x:v>
      </x:c>
      <x:c r="B19" s="13" t="n">
        <x:f>COUNTIFS('Work queue'!$Z$6:$Z$205,"Unassigned")</x:f>
        <x:v>0</x:v>
      </x:c>
      <x:c r="C19" s="1"/>
      <x:c r="D19" s="16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 ht="23" customHeight="1">
      <x:c r="A20" s="1" t="str">
        <x:v>Awaiting acknowledgement</x:v>
      </x:c>
      <x:c r="B20" s="13" t="n">
        <x:f>COUNTIFS('Work queue'!$Z$6:$Z$205,"Awaiting acknowledgement")</x:f>
        <x:v>0</x:v>
      </x:c>
      <x:c r="C20" s="1"/>
      <x:c r="D20" s="16" t="str">
        <x:v>Unacknowledged handoffs are a follow-up signal, not proof of failure.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 ht="23" customHeight="1">
      <x:c r="A21" s="1" t="str">
        <x:v>Next action date passed</x:v>
      </x:c>
      <x:c r="B21" s="13" t="n">
        <x:f>COUNTIFS('Work queue'!$Z$6:$Z$205,"Action date passed")</x:f>
        <x:v>0</x:v>
      </x:c>
      <x:c r="C21" s="1"/>
      <x:c r="D21" s="16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 ht="23" customHeight="1">
      <x:c r="A22" s="1" t="str">
        <x:v>Next action missing</x:v>
      </x:c>
      <x:c r="B22" s="13" t="n">
        <x:f>COUNTIFS('Work queue'!$Z$6:$Z$205,"Next action missing")</x:f>
        <x:v>0</x:v>
      </x:c>
      <x:c r="C22" s="1"/>
      <x:c r="D22" s="16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 ht="23" customHeight="1">
      <x:c r="A23" s="1" t="str">
        <x:v>Task records needing review</x:v>
      </x:c>
      <x:c r="B23" s="13" t="n">
        <x:f>COUNTIFS('Work queue'!$A$6:$A$205,"&lt;&gt;",'Work queue'!$AA$6:$AA$205,"&lt;&gt;Recorded")</x:f>
        <x:v>0</x:v>
      </x:c>
      <x:c r="C23" s="1"/>
      <x:c r="D23" s="16" t="str">
        <x:v>Record check exposes missing fields, duplicates and evidence gaps.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 ht="23" customHeight="1">
      <x:c r="A24" s="1" t="str">
        <x:v>Unresolved issue records</x:v>
      </x:c>
      <x:c r="B24" s="13" t="n">
        <x:f>COUNTIFS('Issues'!$A$6:$A$205,"&lt;&gt;",'Issues'!$N$6:$N$205,"&lt;&gt;Resolved")</x:f>
        <x:v>0</x:v>
      </x:c>
      <x:c r="C24" s="1"/>
      <x:c r="D24" s="16" t="str">
        <x:v>Filter Issues by stage to locate mapping, copying and handoff problems.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 ht="23" customHeight="1">
      <x:c r="A25" s="1"/>
      <x:c r="B25" s="13"/>
      <x:c r="C25" s="1"/>
      <x:c r="D25" s="16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 ht="23" customHeight="1">
      <x:c r="A26" s="4" t="str">
        <x:v>Selected due-date cohort</x:v>
      </x:c>
      <x:c r="B26" s="14"/>
      <x:c r="C26" s="1"/>
      <x:c r="D26" s="16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 ht="23" customHeight="1">
      <x:c r="A27" s="1" t="str">
        <x:v>Support A tasks in period</x:v>
      </x:c>
      <x:c r="B27" s="13" t="n">
        <x:f>COUNTIFS('Work queue'!$F$6:$F$205,"Support A",'Work queue'!$AB$6:$AB$205,"In period")</x:f>
        <x:v>0</x:v>
      </x:c>
      <x:c r="C27" s="1"/>
      <x:c r="D27" s="16" t="str">
        <x:v>Period figures count instrument-cycle tasks, not distinct clients.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 ht="23" customHeight="1">
      <x:c r="A28" s="1" t="str">
        <x:v>Support A completed by as-of</x:v>
      </x:c>
      <x:c r="B28" s="13" t="n">
        <x:f>COUNTIFS('Work queue'!$F$6:$F$205,"Support A",'Work queue'!$AB$6:$AB$205,"In period",'Work queue'!$K$6:$K$205,"Complete",'Work queue'!$AC$6:$AC$205,1)</x:f>
        <x:v>0</x:v>
      </x:c>
      <x:c r="C28" s="1"/>
      <x:c r="D28" s="16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 ht="23" customHeight="1">
      <x:c r="A29" s="1" t="str">
        <x:v>Support A verified in SPARS</x:v>
      </x:c>
      <x:c r="B29" s="13" t="n">
        <x:f>COUNTIFS('Work queue'!$F$6:$F$205,"Support A",'Work queue'!$AB$6:$AB$205,"In period",'Work queue'!$AD$6:$AD$205,1)</x:f>
        <x:v>0</x:v>
      </x:c>
      <x:c r="C29" s="1"/>
      <x:c r="D29" s="16" t="str">
        <x:v>Verified SPARS count requires date, receipt evidence and verified source.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 ht="23" customHeight="1">
      <x:c r="A30" s="1" t="str">
        <x:v>Support C tasks in period</x:v>
      </x:c>
      <x:c r="B30" s="13" t="n">
        <x:f>COUNTIFS('Work queue'!$F$6:$F$205,"Support C",'Work queue'!$AB$6:$AB$205,"In period")</x:f>
        <x:v>0</x:v>
      </x:c>
      <x:c r="C30" s="1"/>
      <x:c r="D30" s="16" t="str">
        <x:v>Include all logged C tasks due in period, including declines and nonreturns.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 ht="23" customHeight="1">
      <x:c r="A31" s="1" t="str">
        <x:v>Support C offered by as-of</x:v>
      </x:c>
      <x:c r="B31" s="13" t="n">
        <x:f>COUNTIFS('Work queue'!$F$6:$F$205,"Support C",'Work queue'!$AB$6:$AB$205,"In period",'Work queue'!$N$6:$N$205,"&gt;0",'Work queue'!$N$6:$N$205,"&lt;="&amp;$B$4)</x:f>
        <x:v>0</x:v>
      </x:c>
      <x:c r="C31" s="1"/>
      <x:c r="D31" s="16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 ht="23" customHeight="1">
      <x:c r="A32" s="1" t="str">
        <x:v>Support C received (partial or complete)</x:v>
      </x:c>
      <x:c r="B32" s="13" t="n">
        <x:f>COUNTIFS('Work queue'!$F$6:$F$205,"Support C",'Work queue'!$AB$6:$AB$205,"In period",'Work queue'!$AC$6:$AC$205,1)</x:f>
        <x:v>0</x:v>
      </x:c>
      <x:c r="C32" s="1"/>
      <x:c r="D32" s="16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 ht="23" customHeight="1">
      <x:c r="A33" s="1" t="str">
        <x:v>Support C complete by as-of</x:v>
      </x:c>
      <x:c r="B33" s="13" t="n">
        <x:f>COUNTIFS('Work queue'!$F$6:$F$205,"Support C",'Work queue'!$AB$6:$AB$205,"In period",'Work queue'!$K$6:$K$205,"Complete",'Work queue'!$AC$6:$AC$205,1)</x:f>
        <x:v>0</x:v>
      </x:c>
      <x:c r="C33" s="1"/>
      <x:c r="D33" s="16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 ht="23" customHeight="1">
      <x:c r="A34" s="1" t="str">
        <x:v>Support C receipt share of due tasks</x:v>
      </x:c>
      <x:c r="B34" s="15" t="str">
        <x:f>IF(B30=0,"n.a.",B32/B30)</x:f>
        <x:v>n.a.</x:v>
      </x:c>
      <x:c r="C34" s="1"/>
      <x:c r="D34" s="16" t="str">
        <x:v>Local operational share only. Not Gus’s 40% or an official response rate.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 ht="23" customHeight="1">
      <x:c r="A35" s="1"/>
      <x:c r="B35" s="1"/>
      <x:c r="C35" s="1"/>
      <x:c r="D35" s="16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 ht="23" customHeight="1">
      <x:c r="A36" s="1"/>
      <x:c r="B36" s="1"/>
      <x:c r="C36" s="1"/>
      <x:c r="D36" s="16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 ht="23" customHeight="1">
      <x:c r="A37" s="4" t="str">
        <x:v>October management preparation</x:v>
      </x:c>
      <x:c r="B37" s="4"/>
      <x:c r="C37" s="1"/>
      <x:c r="D37" s="16" t="str">
        <x:v>Use a dated snapshot and state roster/task coverage.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 ht="23" customHeight="1">
      <x:c r="A38" s="1" t="str">
        <x:v>Operational progress</x:v>
      </x:c>
      <x:c r="B38" s="1"/>
      <x:c r="C38" s="1"/>
      <x:c r="D38" s="16" t="str">
        <x:v>Report A completion, C collection, SPARS evidence and overdue work separately.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 ht="23" customHeight="1">
      <x:c r="A39" s="1" t="str">
        <x:v>Unresolved barriers</x:v>
      </x:c>
      <x:c r="B39" s="1"/>
      <x:c r="C39" s="1"/>
      <x:c r="D39" s="16" t="str">
        <x:v>Summarize issue stage, owner, age, next action and decisions needed.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 ht="23" customHeight="1">
      <x:c r="A40" s="1" t="str">
        <x:v>Outcomes and success stories</x:v>
      </x:c>
      <x:c r="B40" s="1"/>
      <x:c r="C40" s="1"/>
      <x:c r="D40" s="16" t="str">
        <x:v>No outcome records supplied. Add documented examples and matched measures separately.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 ht="23" customHeight="1">
      <x:c r="A41" s="1" t="str">
        <x:v>Paired follow-up</x:v>
      </x:c>
      <x:c r="B41" s="1"/>
      <x:c r="C41" s="1"/>
      <x:c r="D41" s="16" t="str">
        <x:v>Match Client ID, cycle anchor and instrument. Do not infer improvement from returns.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20" hidden="0" customWidth="1"/>
    <x:col min="9" max="9" width="20" hidden="0" customWidth="1"/>
    <x:col min="10" max="10" width="32" hidden="0" customWidth="1"/>
    <x:col min="11" max="11" width="20" hidden="0" customWidth="1"/>
    <x:col min="12" max="12" width="29" hidden="0" customWidth="1"/>
    <x:col min="13" max="13" width="3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3" customHeight="1">
      <x:c r="A2" s="2" t="str">
        <x:v>CCBHC client roster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3" customHeight="1">
      <x:c r="A3" s="1" t="str">
        <x:v>One row per client. Preserve source order; sample selection is a recorded decision, not an automatic every-tenth rule.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44" customHeight="1">
      <x:c r="A5" s="5" t="str">
        <x:v>Client ID</x:v>
      </x:c>
      <x:c r="B5" s="5" t="str">
        <x:v>Site</x:v>
      </x:c>
      <x:c r="C5" s="5" t="str">
        <x:v>Entry date</x:v>
      </x:c>
      <x:c r="D5" s="5" t="str">
        <x:v>Source sequence</x:v>
      </x:c>
      <x:c r="E5" s="5" t="str">
        <x:v>Sample decision</x:v>
      </x:c>
      <x:c r="F5" s="5" t="str">
        <x:v>Selected date</x:v>
      </x:c>
      <x:c r="G5" s="5" t="str">
        <x:v>Selection basis / evidence</x:v>
      </x:c>
      <x:c r="H5" s="5" t="str">
        <x:v>Arise sample flag</x:v>
      </x:c>
      <x:c r="I5" s="5" t="str">
        <x:v>Coordinator</x:v>
      </x:c>
      <x:c r="J5" s="5" t="str">
        <x:v>Source / batch reference</x:v>
      </x:c>
      <x:c r="K5" s="5" t="str">
        <x:v>Last verified</x:v>
      </x:c>
      <x:c r="L5" s="5" t="str">
        <x:v>Record check</x:v>
      </x:c>
      <x:c r="M5" s="5" t="str">
        <x:v>Task setup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23" customHeight="1">
      <x:c r="A6" s="8"/>
      <x:c r="B6" s="6"/>
      <x:c r="C6" s="7"/>
      <x:c r="D6" s="6"/>
      <x:c r="E6" s="6"/>
      <x:c r="F6" s="7"/>
      <x:c r="G6" s="6"/>
      <x:c r="H6" s="6"/>
      <x:c r="I6" s="6"/>
      <x:c r="J6" s="6"/>
      <x:c r="K6" s="7"/>
      <x:c r="L6" s="9" t="str">
        <x:f>IF(A6="","",IF(COUNTIFS($A$6:$A$205,A6)&gt;1,"Duplicate client ID",IF(OR(B6="",C6="",E6="",I6="",J6="",K6=""),"Missing core fields",IF(AND(E6="Selected",OR(F6="",G6="",H6="")),"Missing sample evidence","Recorded"))))</x:f>
      </x:c>
      <x:c r="M6" s="9" t="str">
        <x:f>IF(A6="","",IF(E6&lt;&gt;"Selected","Not selected",IF(OR(COUNTIFS('Work queue'!$B$6:$B$205,A6,'Work queue'!$F$6:$F$205,"Support A")=0,COUNTIFS('Work queue'!$B$6:$B$205,A6,'Work queue'!$F$6:$F$205,"Support C")=0),"Check missing A/C tasks","A/C tasks exist")))</x:f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23" customHeight="1">
      <x:c r="A7" s="8"/>
      <x:c r="B7" s="6"/>
      <x:c r="C7" s="7"/>
      <x:c r="D7" s="6"/>
      <x:c r="E7" s="6"/>
      <x:c r="F7" s="7"/>
      <x:c r="G7" s="6"/>
      <x:c r="H7" s="6"/>
      <x:c r="I7" s="6"/>
      <x:c r="J7" s="6"/>
      <x:c r="K7" s="7"/>
      <x:c r="L7" s="9" t="str">
        <x:f>IF(A7="","",IF(COUNTIFS($A$6:$A$205,A7)&gt;1,"Duplicate client ID",IF(OR(B7="",C7="",E7="",I7="",J7="",K7=""),"Missing core fields",IF(AND(E7="Selected",OR(F7="",G7="",H7="")),"Missing sample evidence","Recorded"))))</x:f>
      </x:c>
      <x:c r="M7" s="9" t="str">
        <x:f>IF(A7="","",IF(E7&lt;&gt;"Selected","Not selected",IF(OR(COUNTIFS('Work queue'!$B$6:$B$205,A7,'Work queue'!$F$6:$F$205,"Support A")=0,COUNTIFS('Work queue'!$B$6:$B$205,A7,'Work queue'!$F$6:$F$205,"Support C")=0),"Check missing A/C tasks","A/C tasks exist")))</x:f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23" customHeight="1">
      <x:c r="A8" s="8"/>
      <x:c r="B8" s="6"/>
      <x:c r="C8" s="7"/>
      <x:c r="D8" s="6"/>
      <x:c r="E8" s="6"/>
      <x:c r="F8" s="7"/>
      <x:c r="G8" s="6"/>
      <x:c r="H8" s="6"/>
      <x:c r="I8" s="6"/>
      <x:c r="J8" s="6"/>
      <x:c r="K8" s="7"/>
      <x:c r="L8" s="9" t="str">
        <x:f>IF(A8="","",IF(COUNTIFS($A$6:$A$205,A8)&gt;1,"Duplicate client ID",IF(OR(B8="",C8="",E8="",I8="",J8="",K8=""),"Missing core fields",IF(AND(E8="Selected",OR(F8="",G8="",H8="")),"Missing sample evidence","Recorded"))))</x:f>
      </x:c>
      <x:c r="M8" s="9" t="str">
        <x:f>IF(A8="","",IF(E8&lt;&gt;"Selected","Not selected",IF(OR(COUNTIFS('Work queue'!$B$6:$B$205,A8,'Work queue'!$F$6:$F$205,"Support A")=0,COUNTIFS('Work queue'!$B$6:$B$205,A8,'Work queue'!$F$6:$F$205,"Support C")=0),"Check missing A/C tasks","A/C tasks exist")))</x:f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23" customHeight="1">
      <x:c r="A9" s="8"/>
      <x:c r="B9" s="6"/>
      <x:c r="C9" s="7"/>
      <x:c r="D9" s="6"/>
      <x:c r="E9" s="6"/>
      <x:c r="F9" s="7"/>
      <x:c r="G9" s="6"/>
      <x:c r="H9" s="6"/>
      <x:c r="I9" s="6"/>
      <x:c r="J9" s="6"/>
      <x:c r="K9" s="7"/>
      <x:c r="L9" s="9" t="str">
        <x:f>IF(A9="","",IF(COUNTIFS($A$6:$A$205,A9)&gt;1,"Duplicate client ID",IF(OR(B9="",C9="",E9="",I9="",J9="",K9=""),"Missing core fields",IF(AND(E9="Selected",OR(F9="",G9="",H9="")),"Missing sample evidence","Recorded"))))</x:f>
      </x:c>
      <x:c r="M9" s="9" t="str">
        <x:f>IF(A9="","",IF(E9&lt;&gt;"Selected","Not selected",IF(OR(COUNTIFS('Work queue'!$B$6:$B$205,A9,'Work queue'!$F$6:$F$205,"Support A")=0,COUNTIFS('Work queue'!$B$6:$B$205,A9,'Work queue'!$F$6:$F$205,"Support C")=0),"Check missing A/C tasks","A/C tasks exist")))</x:f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23" customHeight="1">
      <x:c r="A10" s="8"/>
      <x:c r="B10" s="6"/>
      <x:c r="C10" s="7"/>
      <x:c r="D10" s="6"/>
      <x:c r="E10" s="6"/>
      <x:c r="F10" s="7"/>
      <x:c r="G10" s="6"/>
      <x:c r="H10" s="6"/>
      <x:c r="I10" s="6"/>
      <x:c r="J10" s="6"/>
      <x:c r="K10" s="7"/>
      <x:c r="L10" s="9" t="str">
        <x:f>IF(A10="","",IF(COUNTIFS($A$6:$A$205,A10)&gt;1,"Duplicate client ID",IF(OR(B10="",C10="",E10="",I10="",J10="",K10=""),"Missing core fields",IF(AND(E10="Selected",OR(F10="",G10="",H10="")),"Missing sample evidence","Recorded"))))</x:f>
      </x:c>
      <x:c r="M10" s="9" t="str">
        <x:f>IF(A10="","",IF(E10&lt;&gt;"Selected","Not selected",IF(OR(COUNTIFS('Work queue'!$B$6:$B$205,A10,'Work queue'!$F$6:$F$205,"Support A")=0,COUNTIFS('Work queue'!$B$6:$B$205,A10,'Work queue'!$F$6:$F$205,"Support C")=0),"Check missing A/C tasks","A/C tasks exist")))</x:f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23" customHeight="1">
      <x:c r="A11" s="8"/>
      <x:c r="B11" s="6"/>
      <x:c r="C11" s="7"/>
      <x:c r="D11" s="6"/>
      <x:c r="E11" s="6"/>
      <x:c r="F11" s="7"/>
      <x:c r="G11" s="6"/>
      <x:c r="H11" s="6"/>
      <x:c r="I11" s="6"/>
      <x:c r="J11" s="6"/>
      <x:c r="K11" s="7"/>
      <x:c r="L11" s="9" t="str">
        <x:f>IF(A11="","",IF(COUNTIFS($A$6:$A$205,A11)&gt;1,"Duplicate client ID",IF(OR(B11="",C11="",E11="",I11="",J11="",K11=""),"Missing core fields",IF(AND(E11="Selected",OR(F11="",G11="",H11="")),"Missing sample evidence","Recorded"))))</x:f>
      </x:c>
      <x:c r="M11" s="9" t="str">
        <x:f>IF(A11="","",IF(E11&lt;&gt;"Selected","Not selected",IF(OR(COUNTIFS('Work queue'!$B$6:$B$205,A11,'Work queue'!$F$6:$F$205,"Support A")=0,COUNTIFS('Work queue'!$B$6:$B$205,A11,'Work queue'!$F$6:$F$205,"Support C")=0),"Check missing A/C tasks","A/C tasks exist")))</x:f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23" customHeight="1">
      <x:c r="A12" s="8"/>
      <x:c r="B12" s="6"/>
      <x:c r="C12" s="7"/>
      <x:c r="D12" s="6"/>
      <x:c r="E12" s="6"/>
      <x:c r="F12" s="7"/>
      <x:c r="G12" s="6"/>
      <x:c r="H12" s="6"/>
      <x:c r="I12" s="6"/>
      <x:c r="J12" s="6"/>
      <x:c r="K12" s="7"/>
      <x:c r="L12" s="9" t="str">
        <x:f>IF(A12="","",IF(COUNTIFS($A$6:$A$205,A12)&gt;1,"Duplicate client ID",IF(OR(B12="",C12="",E12="",I12="",J12="",K12=""),"Missing core fields",IF(AND(E12="Selected",OR(F12="",G12="",H12="")),"Missing sample evidence","Recorded"))))</x:f>
      </x:c>
      <x:c r="M12" s="9" t="str">
        <x:f>IF(A12="","",IF(E12&lt;&gt;"Selected","Not selected",IF(OR(COUNTIFS('Work queue'!$B$6:$B$205,A12,'Work queue'!$F$6:$F$205,"Support A")=0,COUNTIFS('Work queue'!$B$6:$B$205,A12,'Work queue'!$F$6:$F$205,"Support C")=0),"Check missing A/C tasks","A/C tasks exist")))</x:f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23" customHeight="1">
      <x:c r="A13" s="8"/>
      <x:c r="B13" s="6"/>
      <x:c r="C13" s="7"/>
      <x:c r="D13" s="6"/>
      <x:c r="E13" s="6"/>
      <x:c r="F13" s="7"/>
      <x:c r="G13" s="6"/>
      <x:c r="H13" s="6"/>
      <x:c r="I13" s="6"/>
      <x:c r="J13" s="6"/>
      <x:c r="K13" s="7"/>
      <x:c r="L13" s="9" t="str">
        <x:f>IF(A13="","",IF(COUNTIFS($A$6:$A$205,A13)&gt;1,"Duplicate client ID",IF(OR(B13="",C13="",E13="",I13="",J13="",K13=""),"Missing core fields",IF(AND(E13="Selected",OR(F13="",G13="",H13="")),"Missing sample evidence","Recorded"))))</x:f>
      </x:c>
      <x:c r="M13" s="9" t="str">
        <x:f>IF(A13="","",IF(E13&lt;&gt;"Selected","Not selected",IF(OR(COUNTIFS('Work queue'!$B$6:$B$205,A13,'Work queue'!$F$6:$F$205,"Support A")=0,COUNTIFS('Work queue'!$B$6:$B$205,A13,'Work queue'!$F$6:$F$205,"Support C")=0),"Check missing A/C tasks","A/C tasks exist")))</x:f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23" customHeight="1">
      <x:c r="A14" s="8"/>
      <x:c r="B14" s="6"/>
      <x:c r="C14" s="7"/>
      <x:c r="D14" s="6"/>
      <x:c r="E14" s="6"/>
      <x:c r="F14" s="7"/>
      <x:c r="G14" s="6"/>
      <x:c r="H14" s="6"/>
      <x:c r="I14" s="6"/>
      <x:c r="J14" s="6"/>
      <x:c r="K14" s="7"/>
      <x:c r="L14" s="9" t="str">
        <x:f>IF(A14="","",IF(COUNTIFS($A$6:$A$205,A14)&gt;1,"Duplicate client ID",IF(OR(B14="",C14="",E14="",I14="",J14="",K14=""),"Missing core fields",IF(AND(E14="Selected",OR(F14="",G14="",H14="")),"Missing sample evidence","Recorded"))))</x:f>
      </x:c>
      <x:c r="M14" s="9" t="str">
        <x:f>IF(A14="","",IF(E14&lt;&gt;"Selected","Not selected",IF(OR(COUNTIFS('Work queue'!$B$6:$B$205,A14,'Work queue'!$F$6:$F$205,"Support A")=0,COUNTIFS('Work queue'!$B$6:$B$205,A14,'Work queue'!$F$6:$F$205,"Support C")=0),"Check missing A/C tasks","A/C tasks exist")))</x:f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23" customHeight="1">
      <x:c r="A15" s="8"/>
      <x:c r="B15" s="6"/>
      <x:c r="C15" s="7"/>
      <x:c r="D15" s="6"/>
      <x:c r="E15" s="6"/>
      <x:c r="F15" s="7"/>
      <x:c r="G15" s="6"/>
      <x:c r="H15" s="6"/>
      <x:c r="I15" s="6"/>
      <x:c r="J15" s="6"/>
      <x:c r="K15" s="7"/>
      <x:c r="L15" s="9" t="str">
        <x:f>IF(A15="","",IF(COUNTIFS($A$6:$A$205,A15)&gt;1,"Duplicate client ID",IF(OR(B15="",C15="",E15="",I15="",J15="",K15=""),"Missing core fields",IF(AND(E15="Selected",OR(F15="",G15="",H15="")),"Missing sample evidence","Recorded"))))</x:f>
      </x:c>
      <x:c r="M15" s="9" t="str">
        <x:f>IF(A15="","",IF(E15&lt;&gt;"Selected","Not selected",IF(OR(COUNTIFS('Work queue'!$B$6:$B$205,A15,'Work queue'!$F$6:$F$205,"Support A")=0,COUNTIFS('Work queue'!$B$6:$B$205,A15,'Work queue'!$F$6:$F$205,"Support C")=0),"Check missing A/C tasks","A/C tasks exist")))</x:f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23" customHeight="1">
      <x:c r="A16" s="8"/>
      <x:c r="B16" s="6"/>
      <x:c r="C16" s="7"/>
      <x:c r="D16" s="6"/>
      <x:c r="E16" s="6"/>
      <x:c r="F16" s="7"/>
      <x:c r="G16" s="6"/>
      <x:c r="H16" s="6"/>
      <x:c r="I16" s="6"/>
      <x:c r="J16" s="6"/>
      <x:c r="K16" s="7"/>
      <x:c r="L16" s="9" t="str">
        <x:f>IF(A16="","",IF(COUNTIFS($A$6:$A$205,A16)&gt;1,"Duplicate client ID",IF(OR(B16="",C16="",E16="",I16="",J16="",K16=""),"Missing core fields",IF(AND(E16="Selected",OR(F16="",G16="",H16="")),"Missing sample evidence","Recorded"))))</x:f>
      </x:c>
      <x:c r="M16" s="9" t="str">
        <x:f>IF(A16="","",IF(E16&lt;&gt;"Selected","Not selected",IF(OR(COUNTIFS('Work queue'!$B$6:$B$205,A16,'Work queue'!$F$6:$F$205,"Support A")=0,COUNTIFS('Work queue'!$B$6:$B$205,A16,'Work queue'!$F$6:$F$205,"Support C")=0),"Check missing A/C tasks","A/C tasks exist")))</x:f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 ht="23" customHeight="1">
      <x:c r="A17" s="8"/>
      <x:c r="B17" s="6"/>
      <x:c r="C17" s="7"/>
      <x:c r="D17" s="6"/>
      <x:c r="E17" s="6"/>
      <x:c r="F17" s="7"/>
      <x:c r="G17" s="6"/>
      <x:c r="H17" s="6"/>
      <x:c r="I17" s="6"/>
      <x:c r="J17" s="6"/>
      <x:c r="K17" s="7"/>
      <x:c r="L17" s="9" t="str">
        <x:f>IF(A17="","",IF(COUNTIFS($A$6:$A$205,A17)&gt;1,"Duplicate client ID",IF(OR(B17="",C17="",E17="",I17="",J17="",K17=""),"Missing core fields",IF(AND(E17="Selected",OR(F17="",G17="",H17="")),"Missing sample evidence","Recorded"))))</x:f>
      </x:c>
      <x:c r="M17" s="9" t="str">
        <x:f>IF(A17="","",IF(E17&lt;&gt;"Selected","Not selected",IF(OR(COUNTIFS('Work queue'!$B$6:$B$205,A17,'Work queue'!$F$6:$F$205,"Support A")=0,COUNTIFS('Work queue'!$B$6:$B$205,A17,'Work queue'!$F$6:$F$205,"Support C")=0),"Check missing A/C tasks","A/C tasks exist")))</x:f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 ht="23" customHeight="1">
      <x:c r="A18" s="8"/>
      <x:c r="B18" s="6"/>
      <x:c r="C18" s="7"/>
      <x:c r="D18" s="6"/>
      <x:c r="E18" s="6"/>
      <x:c r="F18" s="7"/>
      <x:c r="G18" s="6"/>
      <x:c r="H18" s="6"/>
      <x:c r="I18" s="6"/>
      <x:c r="J18" s="6"/>
      <x:c r="K18" s="7"/>
      <x:c r="L18" s="9" t="str">
        <x:f>IF(A18="","",IF(COUNTIFS($A$6:$A$205,A18)&gt;1,"Duplicate client ID",IF(OR(B18="",C18="",E18="",I18="",J18="",K18=""),"Missing core fields",IF(AND(E18="Selected",OR(F18="",G18="",H18="")),"Missing sample evidence","Recorded"))))</x:f>
      </x:c>
      <x:c r="M18" s="9" t="str">
        <x:f>IF(A18="","",IF(E18&lt;&gt;"Selected","Not selected",IF(OR(COUNTIFS('Work queue'!$B$6:$B$205,A18,'Work queue'!$F$6:$F$205,"Support A")=0,COUNTIFS('Work queue'!$B$6:$B$205,A18,'Work queue'!$F$6:$F$205,"Support C")=0),"Check missing A/C tasks","A/C tasks exist")))</x:f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 ht="23" customHeight="1">
      <x:c r="A19" s="8"/>
      <x:c r="B19" s="6"/>
      <x:c r="C19" s="7"/>
      <x:c r="D19" s="6"/>
      <x:c r="E19" s="6"/>
      <x:c r="F19" s="7"/>
      <x:c r="G19" s="6"/>
      <x:c r="H19" s="6"/>
      <x:c r="I19" s="6"/>
      <x:c r="J19" s="6"/>
      <x:c r="K19" s="7"/>
      <x:c r="L19" s="9" t="str">
        <x:f>IF(A19="","",IF(COUNTIFS($A$6:$A$205,A19)&gt;1,"Duplicate client ID",IF(OR(B19="",C19="",E19="",I19="",J19="",K19=""),"Missing core fields",IF(AND(E19="Selected",OR(F19="",G19="",H19="")),"Missing sample evidence","Recorded"))))</x:f>
      </x:c>
      <x:c r="M19" s="9" t="str">
        <x:f>IF(A19="","",IF(E19&lt;&gt;"Selected","Not selected",IF(OR(COUNTIFS('Work queue'!$B$6:$B$205,A19,'Work queue'!$F$6:$F$205,"Support A")=0,COUNTIFS('Work queue'!$B$6:$B$205,A19,'Work queue'!$F$6:$F$205,"Support C")=0),"Check missing A/C tasks","A/C tasks exist")))</x:f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 ht="23" customHeight="1">
      <x:c r="A20" s="8"/>
      <x:c r="B20" s="6"/>
      <x:c r="C20" s="7"/>
      <x:c r="D20" s="6"/>
      <x:c r="E20" s="6"/>
      <x:c r="F20" s="7"/>
      <x:c r="G20" s="6"/>
      <x:c r="H20" s="6"/>
      <x:c r="I20" s="6"/>
      <x:c r="J20" s="6"/>
      <x:c r="K20" s="7"/>
      <x:c r="L20" s="9" t="str">
        <x:f>IF(A20="","",IF(COUNTIFS($A$6:$A$205,A20)&gt;1,"Duplicate client ID",IF(OR(B20="",C20="",E20="",I20="",J20="",K20=""),"Missing core fields",IF(AND(E20="Selected",OR(F20="",G20="",H20="")),"Missing sample evidence","Recorded"))))</x:f>
      </x:c>
      <x:c r="M20" s="9" t="str">
        <x:f>IF(A20="","",IF(E20&lt;&gt;"Selected","Not selected",IF(OR(COUNTIFS('Work queue'!$B$6:$B$205,A20,'Work queue'!$F$6:$F$205,"Support A")=0,COUNTIFS('Work queue'!$B$6:$B$205,A20,'Work queue'!$F$6:$F$205,"Support C")=0),"Check missing A/C tasks","A/C tasks exist")))</x:f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 ht="23" customHeight="1">
      <x:c r="A21" s="8"/>
      <x:c r="B21" s="6"/>
      <x:c r="C21" s="7"/>
      <x:c r="D21" s="6"/>
      <x:c r="E21" s="6"/>
      <x:c r="F21" s="7"/>
      <x:c r="G21" s="6"/>
      <x:c r="H21" s="6"/>
      <x:c r="I21" s="6"/>
      <x:c r="J21" s="6"/>
      <x:c r="K21" s="7"/>
      <x:c r="L21" s="9" t="str">
        <x:f>IF(A21="","",IF(COUNTIFS($A$6:$A$205,A21)&gt;1,"Duplicate client ID",IF(OR(B21="",C21="",E21="",I21="",J21="",K21=""),"Missing core fields",IF(AND(E21="Selected",OR(F21="",G21="",H21="")),"Missing sample evidence","Recorded"))))</x:f>
      </x:c>
      <x:c r="M21" s="9" t="str">
        <x:f>IF(A21="","",IF(E21&lt;&gt;"Selected","Not selected",IF(OR(COUNTIFS('Work queue'!$B$6:$B$205,A21,'Work queue'!$F$6:$F$205,"Support A")=0,COUNTIFS('Work queue'!$B$6:$B$205,A21,'Work queue'!$F$6:$F$205,"Support C")=0),"Check missing A/C tasks","A/C tasks exist")))</x:f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 ht="23" customHeight="1">
      <x:c r="A22" s="8"/>
      <x:c r="B22" s="6"/>
      <x:c r="C22" s="7"/>
      <x:c r="D22" s="6"/>
      <x:c r="E22" s="6"/>
      <x:c r="F22" s="7"/>
      <x:c r="G22" s="6"/>
      <x:c r="H22" s="6"/>
      <x:c r="I22" s="6"/>
      <x:c r="J22" s="6"/>
      <x:c r="K22" s="7"/>
      <x:c r="L22" s="9" t="str">
        <x:f>IF(A22="","",IF(COUNTIFS($A$6:$A$205,A22)&gt;1,"Duplicate client ID",IF(OR(B22="",C22="",E22="",I22="",J22="",K22=""),"Missing core fields",IF(AND(E22="Selected",OR(F22="",G22="",H22="")),"Missing sample evidence","Recorded"))))</x:f>
      </x:c>
      <x:c r="M22" s="9" t="str">
        <x:f>IF(A22="","",IF(E22&lt;&gt;"Selected","Not selected",IF(OR(COUNTIFS('Work queue'!$B$6:$B$205,A22,'Work queue'!$F$6:$F$205,"Support A")=0,COUNTIFS('Work queue'!$B$6:$B$205,A22,'Work queue'!$F$6:$F$205,"Support C")=0),"Check missing A/C tasks","A/C tasks exist")))</x:f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 ht="23" customHeight="1">
      <x:c r="A23" s="8"/>
      <x:c r="B23" s="6"/>
      <x:c r="C23" s="7"/>
      <x:c r="D23" s="6"/>
      <x:c r="E23" s="6"/>
      <x:c r="F23" s="7"/>
      <x:c r="G23" s="6"/>
      <x:c r="H23" s="6"/>
      <x:c r="I23" s="6"/>
      <x:c r="J23" s="6"/>
      <x:c r="K23" s="7"/>
      <x:c r="L23" s="9" t="str">
        <x:f>IF(A23="","",IF(COUNTIFS($A$6:$A$205,A23)&gt;1,"Duplicate client ID",IF(OR(B23="",C23="",E23="",I23="",J23="",K23=""),"Missing core fields",IF(AND(E23="Selected",OR(F23="",G23="",H23="")),"Missing sample evidence","Recorded"))))</x:f>
      </x:c>
      <x:c r="M23" s="9" t="str">
        <x:f>IF(A23="","",IF(E23&lt;&gt;"Selected","Not selected",IF(OR(COUNTIFS('Work queue'!$B$6:$B$205,A23,'Work queue'!$F$6:$F$205,"Support A")=0,COUNTIFS('Work queue'!$B$6:$B$205,A23,'Work queue'!$F$6:$F$205,"Support C")=0),"Check missing A/C tasks","A/C tasks exist")))</x:f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 ht="23" customHeight="1">
      <x:c r="A24" s="8"/>
      <x:c r="B24" s="6"/>
      <x:c r="C24" s="7"/>
      <x:c r="D24" s="6"/>
      <x:c r="E24" s="6"/>
      <x:c r="F24" s="7"/>
      <x:c r="G24" s="6"/>
      <x:c r="H24" s="6"/>
      <x:c r="I24" s="6"/>
      <x:c r="J24" s="6"/>
      <x:c r="K24" s="7"/>
      <x:c r="L24" s="9" t="str">
        <x:f>IF(A24="","",IF(COUNTIFS($A$6:$A$205,A24)&gt;1,"Duplicate client ID",IF(OR(B24="",C24="",E24="",I24="",J24="",K24=""),"Missing core fields",IF(AND(E24="Selected",OR(F24="",G24="",H24="")),"Missing sample evidence","Recorded"))))</x:f>
      </x:c>
      <x:c r="M24" s="9" t="str">
        <x:f>IF(A24="","",IF(E24&lt;&gt;"Selected","Not selected",IF(OR(COUNTIFS('Work queue'!$B$6:$B$205,A24,'Work queue'!$F$6:$F$205,"Support A")=0,COUNTIFS('Work queue'!$B$6:$B$205,A24,'Work queue'!$F$6:$F$205,"Support C")=0),"Check missing A/C tasks","A/C tasks exist")))</x:f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 ht="23" customHeight="1">
      <x:c r="A25" s="8"/>
      <x:c r="B25" s="6"/>
      <x:c r="C25" s="7"/>
      <x:c r="D25" s="6"/>
      <x:c r="E25" s="6"/>
      <x:c r="F25" s="7"/>
      <x:c r="G25" s="6"/>
      <x:c r="H25" s="6"/>
      <x:c r="I25" s="6"/>
      <x:c r="J25" s="6"/>
      <x:c r="K25" s="7"/>
      <x:c r="L25" s="9" t="str">
        <x:f>IF(A25="","",IF(COUNTIFS($A$6:$A$205,A25)&gt;1,"Duplicate client ID",IF(OR(B25="",C25="",E25="",I25="",J25="",K25=""),"Missing core fields",IF(AND(E25="Selected",OR(F25="",G25="",H25="")),"Missing sample evidence","Recorded"))))</x:f>
      </x:c>
      <x:c r="M25" s="9" t="str">
        <x:f>IF(A25="","",IF(E25&lt;&gt;"Selected","Not selected",IF(OR(COUNTIFS('Work queue'!$B$6:$B$205,A25,'Work queue'!$F$6:$F$205,"Support A")=0,COUNTIFS('Work queue'!$B$6:$B$205,A25,'Work queue'!$F$6:$F$205,"Support C")=0),"Check missing A/C tasks","A/C tasks exist")))</x:f>
      </x:c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 ht="23" customHeight="1">
      <x:c r="A26" s="8"/>
      <x:c r="B26" s="6"/>
      <x:c r="C26" s="7"/>
      <x:c r="D26" s="6"/>
      <x:c r="E26" s="6"/>
      <x:c r="F26" s="7"/>
      <x:c r="G26" s="6"/>
      <x:c r="H26" s="6"/>
      <x:c r="I26" s="6"/>
      <x:c r="J26" s="6"/>
      <x:c r="K26" s="7"/>
      <x:c r="L26" s="9" t="str">
        <x:f>IF(A26="","",IF(COUNTIFS($A$6:$A$205,A26)&gt;1,"Duplicate client ID",IF(OR(B26="",C26="",E26="",I26="",J26="",K26=""),"Missing core fields",IF(AND(E26="Selected",OR(F26="",G26="",H26="")),"Missing sample evidence","Recorded"))))</x:f>
      </x:c>
      <x:c r="M26" s="9" t="str">
        <x:f>IF(A26="","",IF(E26&lt;&gt;"Selected","Not selected",IF(OR(COUNTIFS('Work queue'!$B$6:$B$205,A26,'Work queue'!$F$6:$F$205,"Support A")=0,COUNTIFS('Work queue'!$B$6:$B$205,A26,'Work queue'!$F$6:$F$205,"Support C")=0),"Check missing A/C tasks","A/C tasks exist")))</x:f>
      </x:c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 ht="23" customHeight="1">
      <x:c r="A27" s="8"/>
      <x:c r="B27" s="6"/>
      <x:c r="C27" s="7"/>
      <x:c r="D27" s="6"/>
      <x:c r="E27" s="6"/>
      <x:c r="F27" s="7"/>
      <x:c r="G27" s="6"/>
      <x:c r="H27" s="6"/>
      <x:c r="I27" s="6"/>
      <x:c r="J27" s="6"/>
      <x:c r="K27" s="7"/>
      <x:c r="L27" s="9" t="str">
        <x:f>IF(A27="","",IF(COUNTIFS($A$6:$A$205,A27)&gt;1,"Duplicate client ID",IF(OR(B27="",C27="",E27="",I27="",J27="",K27=""),"Missing core fields",IF(AND(E27="Selected",OR(F27="",G27="",H27="")),"Missing sample evidence","Recorded"))))</x:f>
      </x:c>
      <x:c r="M27" s="9" t="str">
        <x:f>IF(A27="","",IF(E27&lt;&gt;"Selected","Not selected",IF(OR(COUNTIFS('Work queue'!$B$6:$B$205,A27,'Work queue'!$F$6:$F$205,"Support A")=0,COUNTIFS('Work queue'!$B$6:$B$205,A27,'Work queue'!$F$6:$F$205,"Support C")=0),"Check missing A/C tasks","A/C tasks exist")))</x:f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 ht="23" customHeight="1">
      <x:c r="A28" s="8"/>
      <x:c r="B28" s="6"/>
      <x:c r="C28" s="7"/>
      <x:c r="D28" s="6"/>
      <x:c r="E28" s="6"/>
      <x:c r="F28" s="7"/>
      <x:c r="G28" s="6"/>
      <x:c r="H28" s="6"/>
      <x:c r="I28" s="6"/>
      <x:c r="J28" s="6"/>
      <x:c r="K28" s="7"/>
      <x:c r="L28" s="9" t="str">
        <x:f>IF(A28="","",IF(COUNTIFS($A$6:$A$205,A28)&gt;1,"Duplicate client ID",IF(OR(B28="",C28="",E28="",I28="",J28="",K28=""),"Missing core fields",IF(AND(E28="Selected",OR(F28="",G28="",H28="")),"Missing sample evidence","Recorded"))))</x:f>
      </x:c>
      <x:c r="M28" s="9" t="str">
        <x:f>IF(A28="","",IF(E28&lt;&gt;"Selected","Not selected",IF(OR(COUNTIFS('Work queue'!$B$6:$B$205,A28,'Work queue'!$F$6:$F$205,"Support A")=0,COUNTIFS('Work queue'!$B$6:$B$205,A28,'Work queue'!$F$6:$F$205,"Support C")=0),"Check missing A/C tasks","A/C tasks exist")))</x:f>
      </x:c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 ht="23" customHeight="1">
      <x:c r="A29" s="8"/>
      <x:c r="B29" s="6"/>
      <x:c r="C29" s="7"/>
      <x:c r="D29" s="6"/>
      <x:c r="E29" s="6"/>
      <x:c r="F29" s="7"/>
      <x:c r="G29" s="6"/>
      <x:c r="H29" s="6"/>
      <x:c r="I29" s="6"/>
      <x:c r="J29" s="6"/>
      <x:c r="K29" s="7"/>
      <x:c r="L29" s="9" t="str">
        <x:f>IF(A29="","",IF(COUNTIFS($A$6:$A$205,A29)&gt;1,"Duplicate client ID",IF(OR(B29="",C29="",E29="",I29="",J29="",K29=""),"Missing core fields",IF(AND(E29="Selected",OR(F29="",G29="",H29="")),"Missing sample evidence","Recorded"))))</x:f>
      </x:c>
      <x:c r="M29" s="9" t="str">
        <x:f>IF(A29="","",IF(E29&lt;&gt;"Selected","Not selected",IF(OR(COUNTIFS('Work queue'!$B$6:$B$205,A29,'Work queue'!$F$6:$F$205,"Support A")=0,COUNTIFS('Work queue'!$B$6:$B$205,A29,'Work queue'!$F$6:$F$205,"Support C")=0),"Check missing A/C tasks","A/C tasks exist")))</x:f>
      </x:c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 ht="23" customHeight="1">
      <x:c r="A30" s="8"/>
      <x:c r="B30" s="6"/>
      <x:c r="C30" s="7"/>
      <x:c r="D30" s="6"/>
      <x:c r="E30" s="6"/>
      <x:c r="F30" s="7"/>
      <x:c r="G30" s="6"/>
      <x:c r="H30" s="6"/>
      <x:c r="I30" s="6"/>
      <x:c r="J30" s="6"/>
      <x:c r="K30" s="7"/>
      <x:c r="L30" s="9" t="str">
        <x:f>IF(A30="","",IF(COUNTIFS($A$6:$A$205,A30)&gt;1,"Duplicate client ID",IF(OR(B30="",C30="",E30="",I30="",J30="",K30=""),"Missing core fields",IF(AND(E30="Selected",OR(F30="",G30="",H30="")),"Missing sample evidence","Recorded"))))</x:f>
      </x:c>
      <x:c r="M30" s="9" t="str">
        <x:f>IF(A30="","",IF(E30&lt;&gt;"Selected","Not selected",IF(OR(COUNTIFS('Work queue'!$B$6:$B$205,A30,'Work queue'!$F$6:$F$205,"Support A")=0,COUNTIFS('Work queue'!$B$6:$B$205,A30,'Work queue'!$F$6:$F$205,"Support C")=0),"Check missing A/C tasks","A/C tasks exist")))</x:f>
      </x:c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 ht="23" customHeight="1">
      <x:c r="A31" s="8"/>
      <x:c r="B31" s="6"/>
      <x:c r="C31" s="7"/>
      <x:c r="D31" s="6"/>
      <x:c r="E31" s="6"/>
      <x:c r="F31" s="7"/>
      <x:c r="G31" s="6"/>
      <x:c r="H31" s="6"/>
      <x:c r="I31" s="6"/>
      <x:c r="J31" s="6"/>
      <x:c r="K31" s="7"/>
      <x:c r="L31" s="9" t="str">
        <x:f>IF(A31="","",IF(COUNTIFS($A$6:$A$205,A31)&gt;1,"Duplicate client ID",IF(OR(B31="",C31="",E31="",I31="",J31="",K31=""),"Missing core fields",IF(AND(E31="Selected",OR(F31="",G31="",H31="")),"Missing sample evidence","Recorded"))))</x:f>
      </x:c>
      <x:c r="M31" s="9" t="str">
        <x:f>IF(A31="","",IF(E31&lt;&gt;"Selected","Not selected",IF(OR(COUNTIFS('Work queue'!$B$6:$B$205,A31,'Work queue'!$F$6:$F$205,"Support A")=0,COUNTIFS('Work queue'!$B$6:$B$205,A31,'Work queue'!$F$6:$F$205,"Support C")=0),"Check missing A/C tasks","A/C tasks exist")))</x:f>
      </x:c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 ht="23" customHeight="1">
      <x:c r="A32" s="8"/>
      <x:c r="B32" s="6"/>
      <x:c r="C32" s="7"/>
      <x:c r="D32" s="6"/>
      <x:c r="E32" s="6"/>
      <x:c r="F32" s="7"/>
      <x:c r="G32" s="6"/>
      <x:c r="H32" s="6"/>
      <x:c r="I32" s="6"/>
      <x:c r="J32" s="6"/>
      <x:c r="K32" s="7"/>
      <x:c r="L32" s="9" t="str">
        <x:f>IF(A32="","",IF(COUNTIFS($A$6:$A$205,A32)&gt;1,"Duplicate client ID",IF(OR(B32="",C32="",E32="",I32="",J32="",K32=""),"Missing core fields",IF(AND(E32="Selected",OR(F32="",G32="",H32="")),"Missing sample evidence","Recorded"))))</x:f>
      </x:c>
      <x:c r="M32" s="9" t="str">
        <x:f>IF(A32="","",IF(E32&lt;&gt;"Selected","Not selected",IF(OR(COUNTIFS('Work queue'!$B$6:$B$205,A32,'Work queue'!$F$6:$F$205,"Support A")=0,COUNTIFS('Work queue'!$B$6:$B$205,A32,'Work queue'!$F$6:$F$205,"Support C")=0),"Check missing A/C tasks","A/C tasks exist")))</x:f>
      </x:c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 ht="23" customHeight="1">
      <x:c r="A33" s="8"/>
      <x:c r="B33" s="6"/>
      <x:c r="C33" s="7"/>
      <x:c r="D33" s="6"/>
      <x:c r="E33" s="6"/>
      <x:c r="F33" s="7"/>
      <x:c r="G33" s="6"/>
      <x:c r="H33" s="6"/>
      <x:c r="I33" s="6"/>
      <x:c r="J33" s="6"/>
      <x:c r="K33" s="7"/>
      <x:c r="L33" s="9" t="str">
        <x:f>IF(A33="","",IF(COUNTIFS($A$6:$A$205,A33)&gt;1,"Duplicate client ID",IF(OR(B33="",C33="",E33="",I33="",J33="",K33=""),"Missing core fields",IF(AND(E33="Selected",OR(F33="",G33="",H33="")),"Missing sample evidence","Recorded"))))</x:f>
      </x:c>
      <x:c r="M33" s="9" t="str">
        <x:f>IF(A33="","",IF(E33&lt;&gt;"Selected","Not selected",IF(OR(COUNTIFS('Work queue'!$B$6:$B$205,A33,'Work queue'!$F$6:$F$205,"Support A")=0,COUNTIFS('Work queue'!$B$6:$B$205,A33,'Work queue'!$F$6:$F$205,"Support C")=0),"Check missing A/C tasks","A/C tasks exist")))</x:f>
      </x:c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 ht="23" customHeight="1">
      <x:c r="A34" s="8"/>
      <x:c r="B34" s="6"/>
      <x:c r="C34" s="7"/>
      <x:c r="D34" s="6"/>
      <x:c r="E34" s="6"/>
      <x:c r="F34" s="7"/>
      <x:c r="G34" s="6"/>
      <x:c r="H34" s="6"/>
      <x:c r="I34" s="6"/>
      <x:c r="J34" s="6"/>
      <x:c r="K34" s="7"/>
      <x:c r="L34" s="9" t="str">
        <x:f>IF(A34="","",IF(COUNTIFS($A$6:$A$205,A34)&gt;1,"Duplicate client ID",IF(OR(B34="",C34="",E34="",I34="",J34="",K34=""),"Missing core fields",IF(AND(E34="Selected",OR(F34="",G34="",H34="")),"Missing sample evidence","Recorded"))))</x:f>
      </x:c>
      <x:c r="M34" s="9" t="str">
        <x:f>IF(A34="","",IF(E34&lt;&gt;"Selected","Not selected",IF(OR(COUNTIFS('Work queue'!$B$6:$B$205,A34,'Work queue'!$F$6:$F$205,"Support A")=0,COUNTIFS('Work queue'!$B$6:$B$205,A34,'Work queue'!$F$6:$F$205,"Support C")=0),"Check missing A/C tasks","A/C tasks exist")))</x:f>
      </x:c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 ht="23" customHeight="1">
      <x:c r="A35" s="8"/>
      <x:c r="B35" s="6"/>
      <x:c r="C35" s="7"/>
      <x:c r="D35" s="6"/>
      <x:c r="E35" s="6"/>
      <x:c r="F35" s="7"/>
      <x:c r="G35" s="6"/>
      <x:c r="H35" s="6"/>
      <x:c r="I35" s="6"/>
      <x:c r="J35" s="6"/>
      <x:c r="K35" s="7"/>
      <x:c r="L35" s="9" t="str">
        <x:f>IF(A35="","",IF(COUNTIFS($A$6:$A$205,A35)&gt;1,"Duplicate client ID",IF(OR(B35="",C35="",E35="",I35="",J35="",K35=""),"Missing core fields",IF(AND(E35="Selected",OR(F35="",G35="",H35="")),"Missing sample evidence","Recorded"))))</x:f>
      </x:c>
      <x:c r="M35" s="9" t="str">
        <x:f>IF(A35="","",IF(E35&lt;&gt;"Selected","Not selected",IF(OR(COUNTIFS('Work queue'!$B$6:$B$205,A35,'Work queue'!$F$6:$F$205,"Support A")=0,COUNTIFS('Work queue'!$B$6:$B$205,A35,'Work queue'!$F$6:$F$205,"Support C")=0),"Check missing A/C tasks","A/C tasks exist")))</x:f>
      </x:c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 ht="23" customHeight="1">
      <x:c r="A36" s="8"/>
      <x:c r="B36" s="6"/>
      <x:c r="C36" s="7"/>
      <x:c r="D36" s="6"/>
      <x:c r="E36" s="6"/>
      <x:c r="F36" s="7"/>
      <x:c r="G36" s="6"/>
      <x:c r="H36" s="6"/>
      <x:c r="I36" s="6"/>
      <x:c r="J36" s="6"/>
      <x:c r="K36" s="7"/>
      <x:c r="L36" s="9" t="str">
        <x:f>IF(A36="","",IF(COUNTIFS($A$6:$A$205,A36)&gt;1,"Duplicate client ID",IF(OR(B36="",C36="",E36="",I36="",J36="",K36=""),"Missing core fields",IF(AND(E36="Selected",OR(F36="",G36="",H36="")),"Missing sample evidence","Recorded"))))</x:f>
      </x:c>
      <x:c r="M36" s="9" t="str">
        <x:f>IF(A36="","",IF(E36&lt;&gt;"Selected","Not selected",IF(OR(COUNTIFS('Work queue'!$B$6:$B$205,A36,'Work queue'!$F$6:$F$205,"Support A")=0,COUNTIFS('Work queue'!$B$6:$B$205,A36,'Work queue'!$F$6:$F$205,"Support C")=0),"Check missing A/C tasks","A/C tasks exist")))</x:f>
      </x:c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 ht="23" customHeight="1">
      <x:c r="A37" s="8"/>
      <x:c r="B37" s="6"/>
      <x:c r="C37" s="7"/>
      <x:c r="D37" s="6"/>
      <x:c r="E37" s="6"/>
      <x:c r="F37" s="7"/>
      <x:c r="G37" s="6"/>
      <x:c r="H37" s="6"/>
      <x:c r="I37" s="6"/>
      <x:c r="J37" s="6"/>
      <x:c r="K37" s="7"/>
      <x:c r="L37" s="9" t="str">
        <x:f>IF(A37="","",IF(COUNTIFS($A$6:$A$205,A37)&gt;1,"Duplicate client ID",IF(OR(B37="",C37="",E37="",I37="",J37="",K37=""),"Missing core fields",IF(AND(E37="Selected",OR(F37="",G37="",H37="")),"Missing sample evidence","Recorded"))))</x:f>
      </x:c>
      <x:c r="M37" s="9" t="str">
        <x:f>IF(A37="","",IF(E37&lt;&gt;"Selected","Not selected",IF(OR(COUNTIFS('Work queue'!$B$6:$B$205,A37,'Work queue'!$F$6:$F$205,"Support A")=0,COUNTIFS('Work queue'!$B$6:$B$205,A37,'Work queue'!$F$6:$F$205,"Support C")=0),"Check missing A/C tasks","A/C tasks exist")))</x:f>
      </x:c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 ht="23" customHeight="1">
      <x:c r="A38" s="8"/>
      <x:c r="B38" s="6"/>
      <x:c r="C38" s="7"/>
      <x:c r="D38" s="6"/>
      <x:c r="E38" s="6"/>
      <x:c r="F38" s="7"/>
      <x:c r="G38" s="6"/>
      <x:c r="H38" s="6"/>
      <x:c r="I38" s="6"/>
      <x:c r="J38" s="6"/>
      <x:c r="K38" s="7"/>
      <x:c r="L38" s="9" t="str">
        <x:f>IF(A38="","",IF(COUNTIFS($A$6:$A$205,A38)&gt;1,"Duplicate client ID",IF(OR(B38="",C38="",E38="",I38="",J38="",K38=""),"Missing core fields",IF(AND(E38="Selected",OR(F38="",G38="",H38="")),"Missing sample evidence","Recorded"))))</x:f>
      </x:c>
      <x:c r="M38" s="9" t="str">
        <x:f>IF(A38="","",IF(E38&lt;&gt;"Selected","Not selected",IF(OR(COUNTIFS('Work queue'!$B$6:$B$205,A38,'Work queue'!$F$6:$F$205,"Support A")=0,COUNTIFS('Work queue'!$B$6:$B$205,A38,'Work queue'!$F$6:$F$205,"Support C")=0),"Check missing A/C tasks","A/C tasks exist")))</x:f>
      </x:c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 ht="23" customHeight="1">
      <x:c r="A39" s="8"/>
      <x:c r="B39" s="6"/>
      <x:c r="C39" s="7"/>
      <x:c r="D39" s="6"/>
      <x:c r="E39" s="6"/>
      <x:c r="F39" s="7"/>
      <x:c r="G39" s="6"/>
      <x:c r="H39" s="6"/>
      <x:c r="I39" s="6"/>
      <x:c r="J39" s="6"/>
      <x:c r="K39" s="7"/>
      <x:c r="L39" s="9" t="str">
        <x:f>IF(A39="","",IF(COUNTIFS($A$6:$A$205,A39)&gt;1,"Duplicate client ID",IF(OR(B39="",C39="",E39="",I39="",J39="",K39=""),"Missing core fields",IF(AND(E39="Selected",OR(F39="",G39="",H39="")),"Missing sample evidence","Recorded"))))</x:f>
      </x:c>
      <x:c r="M39" s="9" t="str">
        <x:f>IF(A39="","",IF(E39&lt;&gt;"Selected","Not selected",IF(OR(COUNTIFS('Work queue'!$B$6:$B$205,A39,'Work queue'!$F$6:$F$205,"Support A")=0,COUNTIFS('Work queue'!$B$6:$B$205,A39,'Work queue'!$F$6:$F$205,"Support C")=0),"Check missing A/C tasks","A/C tasks exist")))</x:f>
      </x:c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 ht="23" customHeight="1">
      <x:c r="A40" s="8"/>
      <x:c r="B40" s="6"/>
      <x:c r="C40" s="7"/>
      <x:c r="D40" s="6"/>
      <x:c r="E40" s="6"/>
      <x:c r="F40" s="7"/>
      <x:c r="G40" s="6"/>
      <x:c r="H40" s="6"/>
      <x:c r="I40" s="6"/>
      <x:c r="J40" s="6"/>
      <x:c r="K40" s="7"/>
      <x:c r="L40" s="9" t="str">
        <x:f>IF(A40="","",IF(COUNTIFS($A$6:$A$205,A40)&gt;1,"Duplicate client ID",IF(OR(B40="",C40="",E40="",I40="",J40="",K40=""),"Missing core fields",IF(AND(E40="Selected",OR(F40="",G40="",H40="")),"Missing sample evidence","Recorded"))))</x:f>
      </x:c>
      <x:c r="M40" s="9" t="str">
        <x:f>IF(A40="","",IF(E40&lt;&gt;"Selected","Not selected",IF(OR(COUNTIFS('Work queue'!$B$6:$B$205,A40,'Work queue'!$F$6:$F$205,"Support A")=0,COUNTIFS('Work queue'!$B$6:$B$205,A40,'Work queue'!$F$6:$F$205,"Support C")=0),"Check missing A/C tasks","A/C tasks exist")))</x:f>
      </x:c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 ht="23" customHeight="1">
      <x:c r="A41" s="8"/>
      <x:c r="B41" s="6"/>
      <x:c r="C41" s="7"/>
      <x:c r="D41" s="6"/>
      <x:c r="E41" s="6"/>
      <x:c r="F41" s="7"/>
      <x:c r="G41" s="6"/>
      <x:c r="H41" s="6"/>
      <x:c r="I41" s="6"/>
      <x:c r="J41" s="6"/>
      <x:c r="K41" s="7"/>
      <x:c r="L41" s="9" t="str">
        <x:f>IF(A41="","",IF(COUNTIFS($A$6:$A$205,A41)&gt;1,"Duplicate client ID",IF(OR(B41="",C41="",E41="",I41="",J41="",K41=""),"Missing core fields",IF(AND(E41="Selected",OR(F41="",G41="",H41="")),"Missing sample evidence","Recorded"))))</x:f>
      </x:c>
      <x:c r="M41" s="9" t="str">
        <x:f>IF(A41="","",IF(E41&lt;&gt;"Selected","Not selected",IF(OR(COUNTIFS('Work queue'!$B$6:$B$205,A41,'Work queue'!$F$6:$F$205,"Support A")=0,COUNTIFS('Work queue'!$B$6:$B$205,A41,'Work queue'!$F$6:$F$205,"Support C")=0),"Check missing A/C tasks","A/C tasks exist")))</x:f>
      </x:c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 ht="23" customHeight="1">
      <x:c r="A42" s="8"/>
      <x:c r="B42" s="6"/>
      <x:c r="C42" s="7"/>
      <x:c r="D42" s="6"/>
      <x:c r="E42" s="6"/>
      <x:c r="F42" s="7"/>
      <x:c r="G42" s="6"/>
      <x:c r="H42" s="6"/>
      <x:c r="I42" s="6"/>
      <x:c r="J42" s="6"/>
      <x:c r="K42" s="7"/>
      <x:c r="L42" s="9" t="str">
        <x:f>IF(A42="","",IF(COUNTIFS($A$6:$A$205,A42)&gt;1,"Duplicate client ID",IF(OR(B42="",C42="",E42="",I42="",J42="",K42=""),"Missing core fields",IF(AND(E42="Selected",OR(F42="",G42="",H42="")),"Missing sample evidence","Recorded"))))</x:f>
      </x:c>
      <x:c r="M42" s="9" t="str">
        <x:f>IF(A42="","",IF(E42&lt;&gt;"Selected","Not selected",IF(OR(COUNTIFS('Work queue'!$B$6:$B$205,A42,'Work queue'!$F$6:$F$205,"Support A")=0,COUNTIFS('Work queue'!$B$6:$B$205,A42,'Work queue'!$F$6:$F$205,"Support C")=0),"Check missing A/C tasks","A/C tasks exist")))</x:f>
      </x:c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 ht="23" customHeight="1">
      <x:c r="A43" s="8"/>
      <x:c r="B43" s="6"/>
      <x:c r="C43" s="7"/>
      <x:c r="D43" s="6"/>
      <x:c r="E43" s="6"/>
      <x:c r="F43" s="7"/>
      <x:c r="G43" s="6"/>
      <x:c r="H43" s="6"/>
      <x:c r="I43" s="6"/>
      <x:c r="J43" s="6"/>
      <x:c r="K43" s="7"/>
      <x:c r="L43" s="9" t="str">
        <x:f>IF(A43="","",IF(COUNTIFS($A$6:$A$205,A43)&gt;1,"Duplicate client ID",IF(OR(B43="",C43="",E43="",I43="",J43="",K43=""),"Missing core fields",IF(AND(E43="Selected",OR(F43="",G43="",H43="")),"Missing sample evidence","Recorded"))))</x:f>
      </x:c>
      <x:c r="M43" s="9" t="str">
        <x:f>IF(A43="","",IF(E43&lt;&gt;"Selected","Not selected",IF(OR(COUNTIFS('Work queue'!$B$6:$B$205,A43,'Work queue'!$F$6:$F$205,"Support A")=0,COUNTIFS('Work queue'!$B$6:$B$205,A43,'Work queue'!$F$6:$F$205,"Support C")=0),"Check missing A/C tasks","A/C tasks exist")))</x:f>
      </x:c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 ht="23" customHeight="1">
      <x:c r="A44" s="8"/>
      <x:c r="B44" s="6"/>
      <x:c r="C44" s="7"/>
      <x:c r="D44" s="6"/>
      <x:c r="E44" s="6"/>
      <x:c r="F44" s="7"/>
      <x:c r="G44" s="6"/>
      <x:c r="H44" s="6"/>
      <x:c r="I44" s="6"/>
      <x:c r="J44" s="6"/>
      <x:c r="K44" s="7"/>
      <x:c r="L44" s="9" t="str">
        <x:f>IF(A44="","",IF(COUNTIFS($A$6:$A$205,A44)&gt;1,"Duplicate client ID",IF(OR(B44="",C44="",E44="",I44="",J44="",K44=""),"Missing core fields",IF(AND(E44="Selected",OR(F44="",G44="",H44="")),"Missing sample evidence","Recorded"))))</x:f>
      </x:c>
      <x:c r="M44" s="9" t="str">
        <x:f>IF(A44="","",IF(E44&lt;&gt;"Selected","Not selected",IF(OR(COUNTIFS('Work queue'!$B$6:$B$205,A44,'Work queue'!$F$6:$F$205,"Support A")=0,COUNTIFS('Work queue'!$B$6:$B$205,A44,'Work queue'!$F$6:$F$205,"Support C")=0),"Check missing A/C tasks","A/C tasks exist")))</x:f>
      </x:c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 ht="23" customHeight="1">
      <x:c r="A45" s="8"/>
      <x:c r="B45" s="6"/>
      <x:c r="C45" s="7"/>
      <x:c r="D45" s="6"/>
      <x:c r="E45" s="6"/>
      <x:c r="F45" s="7"/>
      <x:c r="G45" s="6"/>
      <x:c r="H45" s="6"/>
      <x:c r="I45" s="6"/>
      <x:c r="J45" s="6"/>
      <x:c r="K45" s="7"/>
      <x:c r="L45" s="9" t="str">
        <x:f>IF(A45="","",IF(COUNTIFS($A$6:$A$205,A45)&gt;1,"Duplicate client ID",IF(OR(B45="",C45="",E45="",I45="",J45="",K45=""),"Missing core fields",IF(AND(E45="Selected",OR(F45="",G45="",H45="")),"Missing sample evidence","Recorded"))))</x:f>
      </x:c>
      <x:c r="M45" s="9" t="str">
        <x:f>IF(A45="","",IF(E45&lt;&gt;"Selected","Not selected",IF(OR(COUNTIFS('Work queue'!$B$6:$B$205,A45,'Work queue'!$F$6:$F$205,"Support A")=0,COUNTIFS('Work queue'!$B$6:$B$205,A45,'Work queue'!$F$6:$F$205,"Support C")=0),"Check missing A/C tasks","A/C tasks exist")))</x:f>
      </x:c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 ht="23" customHeight="1">
      <x:c r="A46" s="8"/>
      <x:c r="B46" s="6"/>
      <x:c r="C46" s="7"/>
      <x:c r="D46" s="6"/>
      <x:c r="E46" s="6"/>
      <x:c r="F46" s="7"/>
      <x:c r="G46" s="6"/>
      <x:c r="H46" s="6"/>
      <x:c r="I46" s="6"/>
      <x:c r="J46" s="6"/>
      <x:c r="K46" s="7"/>
      <x:c r="L46" s="9" t="str">
        <x:f>IF(A46="","",IF(COUNTIFS($A$6:$A$205,A46)&gt;1,"Duplicate client ID",IF(OR(B46="",C46="",E46="",I46="",J46="",K46=""),"Missing core fields",IF(AND(E46="Selected",OR(F46="",G46="",H46="")),"Missing sample evidence","Recorded"))))</x:f>
      </x:c>
      <x:c r="M46" s="9" t="str">
        <x:f>IF(A46="","",IF(E46&lt;&gt;"Selected","Not selected",IF(OR(COUNTIFS('Work queue'!$B$6:$B$205,A46,'Work queue'!$F$6:$F$205,"Support A")=0,COUNTIFS('Work queue'!$B$6:$B$205,A46,'Work queue'!$F$6:$F$205,"Support C")=0),"Check missing A/C tasks","A/C tasks exist")))</x:f>
      </x:c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 ht="23" customHeight="1">
      <x:c r="A47" s="8"/>
      <x:c r="B47" s="6"/>
      <x:c r="C47" s="7"/>
      <x:c r="D47" s="6"/>
      <x:c r="E47" s="6"/>
      <x:c r="F47" s="7"/>
      <x:c r="G47" s="6"/>
      <x:c r="H47" s="6"/>
      <x:c r="I47" s="6"/>
      <x:c r="J47" s="6"/>
      <x:c r="K47" s="7"/>
      <x:c r="L47" s="9" t="str">
        <x:f>IF(A47="","",IF(COUNTIFS($A$6:$A$205,A47)&gt;1,"Duplicate client ID",IF(OR(B47="",C47="",E47="",I47="",J47="",K47=""),"Missing core fields",IF(AND(E47="Selected",OR(F47="",G47="",H47="")),"Missing sample evidence","Recorded"))))</x:f>
      </x:c>
      <x:c r="M47" s="9" t="str">
        <x:f>IF(A47="","",IF(E47&lt;&gt;"Selected","Not selected",IF(OR(COUNTIFS('Work queue'!$B$6:$B$205,A47,'Work queue'!$F$6:$F$205,"Support A")=0,COUNTIFS('Work queue'!$B$6:$B$205,A47,'Work queue'!$F$6:$F$205,"Support C")=0),"Check missing A/C tasks","A/C tasks exist")))</x:f>
      </x:c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 ht="23" customHeight="1">
      <x:c r="A48" s="8"/>
      <x:c r="B48" s="6"/>
      <x:c r="C48" s="7"/>
      <x:c r="D48" s="6"/>
      <x:c r="E48" s="6"/>
      <x:c r="F48" s="7"/>
      <x:c r="G48" s="6"/>
      <x:c r="H48" s="6"/>
      <x:c r="I48" s="6"/>
      <x:c r="J48" s="6"/>
      <x:c r="K48" s="7"/>
      <x:c r="L48" s="9" t="str">
        <x:f>IF(A48="","",IF(COUNTIFS($A$6:$A$205,A48)&gt;1,"Duplicate client ID",IF(OR(B48="",C48="",E48="",I48="",J48="",K48=""),"Missing core fields",IF(AND(E48="Selected",OR(F48="",G48="",H48="")),"Missing sample evidence","Recorded"))))</x:f>
      </x:c>
      <x:c r="M48" s="9" t="str">
        <x:f>IF(A48="","",IF(E48&lt;&gt;"Selected","Not selected",IF(OR(COUNTIFS('Work queue'!$B$6:$B$205,A48,'Work queue'!$F$6:$F$205,"Support A")=0,COUNTIFS('Work queue'!$B$6:$B$205,A48,'Work queue'!$F$6:$F$205,"Support C")=0),"Check missing A/C tasks","A/C tasks exist")))</x:f>
      </x:c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 ht="23" customHeight="1">
      <x:c r="A49" s="8"/>
      <x:c r="B49" s="6"/>
      <x:c r="C49" s="7"/>
      <x:c r="D49" s="6"/>
      <x:c r="E49" s="6"/>
      <x:c r="F49" s="7"/>
      <x:c r="G49" s="6"/>
      <x:c r="H49" s="6"/>
      <x:c r="I49" s="6"/>
      <x:c r="J49" s="6"/>
      <x:c r="K49" s="7"/>
      <x:c r="L49" s="9" t="str">
        <x:f>IF(A49="","",IF(COUNTIFS($A$6:$A$205,A49)&gt;1,"Duplicate client ID",IF(OR(B49="",C49="",E49="",I49="",J49="",K49=""),"Missing core fields",IF(AND(E49="Selected",OR(F49="",G49="",H49="")),"Missing sample evidence","Recorded"))))</x:f>
      </x:c>
      <x:c r="M49" s="9" t="str">
        <x:f>IF(A49="","",IF(E49&lt;&gt;"Selected","Not selected",IF(OR(COUNTIFS('Work queue'!$B$6:$B$205,A49,'Work queue'!$F$6:$F$205,"Support A")=0,COUNTIFS('Work queue'!$B$6:$B$205,A49,'Work queue'!$F$6:$F$205,"Support C")=0),"Check missing A/C tasks","A/C tasks exist")))</x:f>
      </x:c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 ht="23" customHeight="1">
      <x:c r="A50" s="8"/>
      <x:c r="B50" s="6"/>
      <x:c r="C50" s="7"/>
      <x:c r="D50" s="6"/>
      <x:c r="E50" s="6"/>
      <x:c r="F50" s="7"/>
      <x:c r="G50" s="6"/>
      <x:c r="H50" s="6"/>
      <x:c r="I50" s="6"/>
      <x:c r="J50" s="6"/>
      <x:c r="K50" s="7"/>
      <x:c r="L50" s="9" t="str">
        <x:f>IF(A50="","",IF(COUNTIFS($A$6:$A$205,A50)&gt;1,"Duplicate client ID",IF(OR(B50="",C50="",E50="",I50="",J50="",K50=""),"Missing core fields",IF(AND(E50="Selected",OR(F50="",G50="",H50="")),"Missing sample evidence","Recorded"))))</x:f>
      </x:c>
      <x:c r="M50" s="9" t="str">
        <x:f>IF(A50="","",IF(E50&lt;&gt;"Selected","Not selected",IF(OR(COUNTIFS('Work queue'!$B$6:$B$205,A50,'Work queue'!$F$6:$F$205,"Support A")=0,COUNTIFS('Work queue'!$B$6:$B$205,A50,'Work queue'!$F$6:$F$205,"Support C")=0),"Check missing A/C tasks","A/C tasks exist")))</x:f>
      </x:c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 ht="23" customHeight="1">
      <x:c r="A51" s="8"/>
      <x:c r="B51" s="6"/>
      <x:c r="C51" s="7"/>
      <x:c r="D51" s="6"/>
      <x:c r="E51" s="6"/>
      <x:c r="F51" s="7"/>
      <x:c r="G51" s="6"/>
      <x:c r="H51" s="6"/>
      <x:c r="I51" s="6"/>
      <x:c r="J51" s="6"/>
      <x:c r="K51" s="7"/>
      <x:c r="L51" s="9" t="str">
        <x:f>IF(A51="","",IF(COUNTIFS($A$6:$A$205,A51)&gt;1,"Duplicate client ID",IF(OR(B51="",C51="",E51="",I51="",J51="",K51=""),"Missing core fields",IF(AND(E51="Selected",OR(F51="",G51="",H51="")),"Missing sample evidence","Recorded"))))</x:f>
      </x:c>
      <x:c r="M51" s="9" t="str">
        <x:f>IF(A51="","",IF(E51&lt;&gt;"Selected","Not selected",IF(OR(COUNTIFS('Work queue'!$B$6:$B$205,A51,'Work queue'!$F$6:$F$205,"Support A")=0,COUNTIFS('Work queue'!$B$6:$B$205,A51,'Work queue'!$F$6:$F$205,"Support C")=0),"Check missing A/C tasks","A/C tasks exist")))</x:f>
      </x:c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 ht="23" customHeight="1">
      <x:c r="A52" s="8"/>
      <x:c r="B52" s="6"/>
      <x:c r="C52" s="7"/>
      <x:c r="D52" s="6"/>
      <x:c r="E52" s="6"/>
      <x:c r="F52" s="7"/>
      <x:c r="G52" s="6"/>
      <x:c r="H52" s="6"/>
      <x:c r="I52" s="6"/>
      <x:c r="J52" s="6"/>
      <x:c r="K52" s="7"/>
      <x:c r="L52" s="9" t="str">
        <x:f>IF(A52="","",IF(COUNTIFS($A$6:$A$205,A52)&gt;1,"Duplicate client ID",IF(OR(B52="",C52="",E52="",I52="",J52="",K52=""),"Missing core fields",IF(AND(E52="Selected",OR(F52="",G52="",H52="")),"Missing sample evidence","Recorded"))))</x:f>
      </x:c>
      <x:c r="M52" s="9" t="str">
        <x:f>IF(A52="","",IF(E52&lt;&gt;"Selected","Not selected",IF(OR(COUNTIFS('Work queue'!$B$6:$B$205,A52,'Work queue'!$F$6:$F$205,"Support A")=0,COUNTIFS('Work queue'!$B$6:$B$205,A52,'Work queue'!$F$6:$F$205,"Support C")=0),"Check missing A/C tasks","A/C tasks exist")))</x:f>
      </x:c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 ht="23" customHeight="1">
      <x:c r="A53" s="8"/>
      <x:c r="B53" s="6"/>
      <x:c r="C53" s="7"/>
      <x:c r="D53" s="6"/>
      <x:c r="E53" s="6"/>
      <x:c r="F53" s="7"/>
      <x:c r="G53" s="6"/>
      <x:c r="H53" s="6"/>
      <x:c r="I53" s="6"/>
      <x:c r="J53" s="6"/>
      <x:c r="K53" s="7"/>
      <x:c r="L53" s="9" t="str">
        <x:f>IF(A53="","",IF(COUNTIFS($A$6:$A$205,A53)&gt;1,"Duplicate client ID",IF(OR(B53="",C53="",E53="",I53="",J53="",K53=""),"Missing core fields",IF(AND(E53="Selected",OR(F53="",G53="",H53="")),"Missing sample evidence","Recorded"))))</x:f>
      </x:c>
      <x:c r="M53" s="9" t="str">
        <x:f>IF(A53="","",IF(E53&lt;&gt;"Selected","Not selected",IF(OR(COUNTIFS('Work queue'!$B$6:$B$205,A53,'Work queue'!$F$6:$F$205,"Support A")=0,COUNTIFS('Work queue'!$B$6:$B$205,A53,'Work queue'!$F$6:$F$205,"Support C")=0),"Check missing A/C tasks","A/C tasks exist")))</x:f>
      </x:c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 ht="23" customHeight="1">
      <x:c r="A54" s="8"/>
      <x:c r="B54" s="6"/>
      <x:c r="C54" s="7"/>
      <x:c r="D54" s="6"/>
      <x:c r="E54" s="6"/>
      <x:c r="F54" s="7"/>
      <x:c r="G54" s="6"/>
      <x:c r="H54" s="6"/>
      <x:c r="I54" s="6"/>
      <x:c r="J54" s="6"/>
      <x:c r="K54" s="7"/>
      <x:c r="L54" s="9" t="str">
        <x:f>IF(A54="","",IF(COUNTIFS($A$6:$A$205,A54)&gt;1,"Duplicate client ID",IF(OR(B54="",C54="",E54="",I54="",J54="",K54=""),"Missing core fields",IF(AND(E54="Selected",OR(F54="",G54="",H54="")),"Missing sample evidence","Recorded"))))</x:f>
      </x:c>
      <x:c r="M54" s="9" t="str">
        <x:f>IF(A54="","",IF(E54&lt;&gt;"Selected","Not selected",IF(OR(COUNTIFS('Work queue'!$B$6:$B$205,A54,'Work queue'!$F$6:$F$205,"Support A")=0,COUNTIFS('Work queue'!$B$6:$B$205,A54,'Work queue'!$F$6:$F$205,"Support C")=0),"Check missing A/C tasks","A/C tasks exist")))</x:f>
      </x:c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 ht="23" customHeight="1">
      <x:c r="A55" s="8"/>
      <x:c r="B55" s="6"/>
      <x:c r="C55" s="7"/>
      <x:c r="D55" s="6"/>
      <x:c r="E55" s="6"/>
      <x:c r="F55" s="7"/>
      <x:c r="G55" s="6"/>
      <x:c r="H55" s="6"/>
      <x:c r="I55" s="6"/>
      <x:c r="J55" s="6"/>
      <x:c r="K55" s="7"/>
      <x:c r="L55" s="9" t="str">
        <x:f>IF(A55="","",IF(COUNTIFS($A$6:$A$205,A55)&gt;1,"Duplicate client ID",IF(OR(B55="",C55="",E55="",I55="",J55="",K55=""),"Missing core fields",IF(AND(E55="Selected",OR(F55="",G55="",H55="")),"Missing sample evidence","Recorded"))))</x:f>
      </x:c>
      <x:c r="M55" s="9" t="str">
        <x:f>IF(A55="","",IF(E55&lt;&gt;"Selected","Not selected",IF(OR(COUNTIFS('Work queue'!$B$6:$B$205,A55,'Work queue'!$F$6:$F$205,"Support A")=0,COUNTIFS('Work queue'!$B$6:$B$205,A55,'Work queue'!$F$6:$F$205,"Support C")=0),"Check missing A/C tasks","A/C tasks exist")))</x:f>
      </x:c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 ht="23" customHeight="1">
      <x:c r="A56" s="8"/>
      <x:c r="B56" s="6"/>
      <x:c r="C56" s="7"/>
      <x:c r="D56" s="6"/>
      <x:c r="E56" s="6"/>
      <x:c r="F56" s="7"/>
      <x:c r="G56" s="6"/>
      <x:c r="H56" s="6"/>
      <x:c r="I56" s="6"/>
      <x:c r="J56" s="6"/>
      <x:c r="K56" s="7"/>
      <x:c r="L56" s="9" t="str">
        <x:f>IF(A56="","",IF(COUNTIFS($A$6:$A$205,A56)&gt;1,"Duplicate client ID",IF(OR(B56="",C56="",E56="",I56="",J56="",K56=""),"Missing core fields",IF(AND(E56="Selected",OR(F56="",G56="",H56="")),"Missing sample evidence","Recorded"))))</x:f>
      </x:c>
      <x:c r="M56" s="9" t="str">
        <x:f>IF(A56="","",IF(E56&lt;&gt;"Selected","Not selected",IF(OR(COUNTIFS('Work queue'!$B$6:$B$205,A56,'Work queue'!$F$6:$F$205,"Support A")=0,COUNTIFS('Work queue'!$B$6:$B$205,A56,'Work queue'!$F$6:$F$205,"Support C")=0),"Check missing A/C tasks","A/C tasks exist")))</x:f>
      </x:c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 ht="23" customHeight="1">
      <x:c r="A57" s="8"/>
      <x:c r="B57" s="6"/>
      <x:c r="C57" s="7"/>
      <x:c r="D57" s="6"/>
      <x:c r="E57" s="6"/>
      <x:c r="F57" s="7"/>
      <x:c r="G57" s="6"/>
      <x:c r="H57" s="6"/>
      <x:c r="I57" s="6"/>
      <x:c r="J57" s="6"/>
      <x:c r="K57" s="7"/>
      <x:c r="L57" s="9" t="str">
        <x:f>IF(A57="","",IF(COUNTIFS($A$6:$A$205,A57)&gt;1,"Duplicate client ID",IF(OR(B57="",C57="",E57="",I57="",J57="",K57=""),"Missing core fields",IF(AND(E57="Selected",OR(F57="",G57="",H57="")),"Missing sample evidence","Recorded"))))</x:f>
      </x:c>
      <x:c r="M57" s="9" t="str">
        <x:f>IF(A57="","",IF(E57&lt;&gt;"Selected","Not selected",IF(OR(COUNTIFS('Work queue'!$B$6:$B$205,A57,'Work queue'!$F$6:$F$205,"Support A")=0,COUNTIFS('Work queue'!$B$6:$B$205,A57,'Work queue'!$F$6:$F$205,"Support C")=0),"Check missing A/C tasks","A/C tasks exist")))</x:f>
      </x:c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 ht="23" customHeight="1">
      <x:c r="A58" s="8"/>
      <x:c r="B58" s="6"/>
      <x:c r="C58" s="7"/>
      <x:c r="D58" s="6"/>
      <x:c r="E58" s="6"/>
      <x:c r="F58" s="7"/>
      <x:c r="G58" s="6"/>
      <x:c r="H58" s="6"/>
      <x:c r="I58" s="6"/>
      <x:c r="J58" s="6"/>
      <x:c r="K58" s="7"/>
      <x:c r="L58" s="9" t="str">
        <x:f>IF(A58="","",IF(COUNTIFS($A$6:$A$205,A58)&gt;1,"Duplicate client ID",IF(OR(B58="",C58="",E58="",I58="",J58="",K58=""),"Missing core fields",IF(AND(E58="Selected",OR(F58="",G58="",H58="")),"Missing sample evidence","Recorded"))))</x:f>
      </x:c>
      <x:c r="M58" s="9" t="str">
        <x:f>IF(A58="","",IF(E58&lt;&gt;"Selected","Not selected",IF(OR(COUNTIFS('Work queue'!$B$6:$B$205,A58,'Work queue'!$F$6:$F$205,"Support A")=0,COUNTIFS('Work queue'!$B$6:$B$205,A58,'Work queue'!$F$6:$F$205,"Support C")=0),"Check missing A/C tasks","A/C tasks exist")))</x:f>
      </x:c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 ht="23" customHeight="1">
      <x:c r="A59" s="8"/>
      <x:c r="B59" s="6"/>
      <x:c r="C59" s="7"/>
      <x:c r="D59" s="6"/>
      <x:c r="E59" s="6"/>
      <x:c r="F59" s="7"/>
      <x:c r="G59" s="6"/>
      <x:c r="H59" s="6"/>
      <x:c r="I59" s="6"/>
      <x:c r="J59" s="6"/>
      <x:c r="K59" s="7"/>
      <x:c r="L59" s="9" t="str">
        <x:f>IF(A59="","",IF(COUNTIFS($A$6:$A$205,A59)&gt;1,"Duplicate client ID",IF(OR(B59="",C59="",E59="",I59="",J59="",K59=""),"Missing core fields",IF(AND(E59="Selected",OR(F59="",G59="",H59="")),"Missing sample evidence","Recorded"))))</x:f>
      </x:c>
      <x:c r="M59" s="9" t="str">
        <x:f>IF(A59="","",IF(E59&lt;&gt;"Selected","Not selected",IF(OR(COUNTIFS('Work queue'!$B$6:$B$205,A59,'Work queue'!$F$6:$F$205,"Support A")=0,COUNTIFS('Work queue'!$B$6:$B$205,A59,'Work queue'!$F$6:$F$205,"Support C")=0),"Check missing A/C tasks","A/C tasks exist")))</x:f>
      </x:c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 ht="23" customHeight="1">
      <x:c r="A60" s="8"/>
      <x:c r="B60" s="6"/>
      <x:c r="C60" s="7"/>
      <x:c r="D60" s="6"/>
      <x:c r="E60" s="6"/>
      <x:c r="F60" s="7"/>
      <x:c r="G60" s="6"/>
      <x:c r="H60" s="6"/>
      <x:c r="I60" s="6"/>
      <x:c r="J60" s="6"/>
      <x:c r="K60" s="7"/>
      <x:c r="L60" s="9" t="str">
        <x:f>IF(A60="","",IF(COUNTIFS($A$6:$A$205,A60)&gt;1,"Duplicate client ID",IF(OR(B60="",C60="",E60="",I60="",J60="",K60=""),"Missing core fields",IF(AND(E60="Selected",OR(F60="",G60="",H60="")),"Missing sample evidence","Recorded"))))</x:f>
      </x:c>
      <x:c r="M60" s="9" t="str">
        <x:f>IF(A60="","",IF(E60&lt;&gt;"Selected","Not selected",IF(OR(COUNTIFS('Work queue'!$B$6:$B$205,A60,'Work queue'!$F$6:$F$205,"Support A")=0,COUNTIFS('Work queue'!$B$6:$B$205,A60,'Work queue'!$F$6:$F$205,"Support C")=0),"Check missing A/C tasks","A/C tasks exist")))</x:f>
      </x:c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 ht="23" customHeight="1">
      <x:c r="A61" s="8"/>
      <x:c r="B61" s="6"/>
      <x:c r="C61" s="7"/>
      <x:c r="D61" s="6"/>
      <x:c r="E61" s="6"/>
      <x:c r="F61" s="7"/>
      <x:c r="G61" s="6"/>
      <x:c r="H61" s="6"/>
      <x:c r="I61" s="6"/>
      <x:c r="J61" s="6"/>
      <x:c r="K61" s="7"/>
      <x:c r="L61" s="9" t="str">
        <x:f>IF(A61="","",IF(COUNTIFS($A$6:$A$205,A61)&gt;1,"Duplicate client ID",IF(OR(B61="",C61="",E61="",I61="",J61="",K61=""),"Missing core fields",IF(AND(E61="Selected",OR(F61="",G61="",H61="")),"Missing sample evidence","Recorded"))))</x:f>
      </x:c>
      <x:c r="M61" s="9" t="str">
        <x:f>IF(A61="","",IF(E61&lt;&gt;"Selected","Not selected",IF(OR(COUNTIFS('Work queue'!$B$6:$B$205,A61,'Work queue'!$F$6:$F$205,"Support A")=0,COUNTIFS('Work queue'!$B$6:$B$205,A61,'Work queue'!$F$6:$F$205,"Support C")=0),"Check missing A/C tasks","A/C tasks exist")))</x:f>
      </x:c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 ht="23" customHeight="1">
      <x:c r="A62" s="8"/>
      <x:c r="B62" s="6"/>
      <x:c r="C62" s="7"/>
      <x:c r="D62" s="6"/>
      <x:c r="E62" s="6"/>
      <x:c r="F62" s="7"/>
      <x:c r="G62" s="6"/>
      <x:c r="H62" s="6"/>
      <x:c r="I62" s="6"/>
      <x:c r="J62" s="6"/>
      <x:c r="K62" s="7"/>
      <x:c r="L62" s="9" t="str">
        <x:f>IF(A62="","",IF(COUNTIFS($A$6:$A$205,A62)&gt;1,"Duplicate client ID",IF(OR(B62="",C62="",E62="",I62="",J62="",K62=""),"Missing core fields",IF(AND(E62="Selected",OR(F62="",G62="",H62="")),"Missing sample evidence","Recorded"))))</x:f>
      </x:c>
      <x:c r="M62" s="9" t="str">
        <x:f>IF(A62="","",IF(E62&lt;&gt;"Selected","Not selected",IF(OR(COUNTIFS('Work queue'!$B$6:$B$205,A62,'Work queue'!$F$6:$F$205,"Support A")=0,COUNTIFS('Work queue'!$B$6:$B$205,A62,'Work queue'!$F$6:$F$205,"Support C")=0),"Check missing A/C tasks","A/C tasks exist")))</x:f>
      </x:c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 ht="23" customHeight="1">
      <x:c r="A63" s="8"/>
      <x:c r="B63" s="6"/>
      <x:c r="C63" s="7"/>
      <x:c r="D63" s="6"/>
      <x:c r="E63" s="6"/>
      <x:c r="F63" s="7"/>
      <x:c r="G63" s="6"/>
      <x:c r="H63" s="6"/>
      <x:c r="I63" s="6"/>
      <x:c r="J63" s="6"/>
      <x:c r="K63" s="7"/>
      <x:c r="L63" s="9" t="str">
        <x:f>IF(A63="","",IF(COUNTIFS($A$6:$A$205,A63)&gt;1,"Duplicate client ID",IF(OR(B63="",C63="",E63="",I63="",J63="",K63=""),"Missing core fields",IF(AND(E63="Selected",OR(F63="",G63="",H63="")),"Missing sample evidence","Recorded"))))</x:f>
      </x:c>
      <x:c r="M63" s="9" t="str">
        <x:f>IF(A63="","",IF(E63&lt;&gt;"Selected","Not selected",IF(OR(COUNTIFS('Work queue'!$B$6:$B$205,A63,'Work queue'!$F$6:$F$205,"Support A")=0,COUNTIFS('Work queue'!$B$6:$B$205,A63,'Work queue'!$F$6:$F$205,"Support C")=0),"Check missing A/C tasks","A/C tasks exist")))</x:f>
      </x:c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 ht="23" customHeight="1">
      <x:c r="A64" s="8"/>
      <x:c r="B64" s="6"/>
      <x:c r="C64" s="7"/>
      <x:c r="D64" s="6"/>
      <x:c r="E64" s="6"/>
      <x:c r="F64" s="7"/>
      <x:c r="G64" s="6"/>
      <x:c r="H64" s="6"/>
      <x:c r="I64" s="6"/>
      <x:c r="J64" s="6"/>
      <x:c r="K64" s="7"/>
      <x:c r="L64" s="9" t="str">
        <x:f>IF(A64="","",IF(COUNTIFS($A$6:$A$205,A64)&gt;1,"Duplicate client ID",IF(OR(B64="",C64="",E64="",I64="",J64="",K64=""),"Missing core fields",IF(AND(E64="Selected",OR(F64="",G64="",H64="")),"Missing sample evidence","Recorded"))))</x:f>
      </x:c>
      <x:c r="M64" s="9" t="str">
        <x:f>IF(A64="","",IF(E64&lt;&gt;"Selected","Not selected",IF(OR(COUNTIFS('Work queue'!$B$6:$B$205,A64,'Work queue'!$F$6:$F$205,"Support A")=0,COUNTIFS('Work queue'!$B$6:$B$205,A64,'Work queue'!$F$6:$F$205,"Support C")=0),"Check missing A/C tasks","A/C tasks exist")))</x:f>
      </x:c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 ht="23" customHeight="1">
      <x:c r="A65" s="8"/>
      <x:c r="B65" s="6"/>
      <x:c r="C65" s="7"/>
      <x:c r="D65" s="6"/>
      <x:c r="E65" s="6"/>
      <x:c r="F65" s="7"/>
      <x:c r="G65" s="6"/>
      <x:c r="H65" s="6"/>
      <x:c r="I65" s="6"/>
      <x:c r="J65" s="6"/>
      <x:c r="K65" s="7"/>
      <x:c r="L65" s="9" t="str">
        <x:f>IF(A65="","",IF(COUNTIFS($A$6:$A$205,A65)&gt;1,"Duplicate client ID",IF(OR(B65="",C65="",E65="",I65="",J65="",K65=""),"Missing core fields",IF(AND(E65="Selected",OR(F65="",G65="",H65="")),"Missing sample evidence","Recorded"))))</x:f>
      </x:c>
      <x:c r="M65" s="9" t="str">
        <x:f>IF(A65="","",IF(E65&lt;&gt;"Selected","Not selected",IF(OR(COUNTIFS('Work queue'!$B$6:$B$205,A65,'Work queue'!$F$6:$F$205,"Support A")=0,COUNTIFS('Work queue'!$B$6:$B$205,A65,'Work queue'!$F$6:$F$205,"Support C")=0),"Check missing A/C tasks","A/C tasks exist")))</x:f>
      </x:c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 ht="23" customHeight="1">
      <x:c r="A66" s="8"/>
      <x:c r="B66" s="6"/>
      <x:c r="C66" s="7"/>
      <x:c r="D66" s="6"/>
      <x:c r="E66" s="6"/>
      <x:c r="F66" s="7"/>
      <x:c r="G66" s="6"/>
      <x:c r="H66" s="6"/>
      <x:c r="I66" s="6"/>
      <x:c r="J66" s="6"/>
      <x:c r="K66" s="7"/>
      <x:c r="L66" s="9" t="str">
        <x:f>IF(A66="","",IF(COUNTIFS($A$6:$A$205,A66)&gt;1,"Duplicate client ID",IF(OR(B66="",C66="",E66="",I66="",J66="",K66=""),"Missing core fields",IF(AND(E66="Selected",OR(F66="",G66="",H66="")),"Missing sample evidence","Recorded"))))</x:f>
      </x:c>
      <x:c r="M66" s="9" t="str">
        <x:f>IF(A66="","",IF(E66&lt;&gt;"Selected","Not selected",IF(OR(COUNTIFS('Work queue'!$B$6:$B$205,A66,'Work queue'!$F$6:$F$205,"Support A")=0,COUNTIFS('Work queue'!$B$6:$B$205,A66,'Work queue'!$F$6:$F$205,"Support C")=0),"Check missing A/C tasks","A/C tasks exist")))</x:f>
      </x:c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 ht="23" customHeight="1">
      <x:c r="A67" s="8"/>
      <x:c r="B67" s="6"/>
      <x:c r="C67" s="7"/>
      <x:c r="D67" s="6"/>
      <x:c r="E67" s="6"/>
      <x:c r="F67" s="7"/>
      <x:c r="G67" s="6"/>
      <x:c r="H67" s="6"/>
      <x:c r="I67" s="6"/>
      <x:c r="J67" s="6"/>
      <x:c r="K67" s="7"/>
      <x:c r="L67" s="9" t="str">
        <x:f>IF(A67="","",IF(COUNTIFS($A$6:$A$205,A67)&gt;1,"Duplicate client ID",IF(OR(B67="",C67="",E67="",I67="",J67="",K67=""),"Missing core fields",IF(AND(E67="Selected",OR(F67="",G67="",H67="")),"Missing sample evidence","Recorded"))))</x:f>
      </x:c>
      <x:c r="M67" s="9" t="str">
        <x:f>IF(A67="","",IF(E67&lt;&gt;"Selected","Not selected",IF(OR(COUNTIFS('Work queue'!$B$6:$B$205,A67,'Work queue'!$F$6:$F$205,"Support A")=0,COUNTIFS('Work queue'!$B$6:$B$205,A67,'Work queue'!$F$6:$F$205,"Support C")=0),"Check missing A/C tasks","A/C tasks exist")))</x:f>
      </x:c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 ht="23" customHeight="1">
      <x:c r="A68" s="8"/>
      <x:c r="B68" s="6"/>
      <x:c r="C68" s="7"/>
      <x:c r="D68" s="6"/>
      <x:c r="E68" s="6"/>
      <x:c r="F68" s="7"/>
      <x:c r="G68" s="6"/>
      <x:c r="H68" s="6"/>
      <x:c r="I68" s="6"/>
      <x:c r="J68" s="6"/>
      <x:c r="K68" s="7"/>
      <x:c r="L68" s="9" t="str">
        <x:f>IF(A68="","",IF(COUNTIFS($A$6:$A$205,A68)&gt;1,"Duplicate client ID",IF(OR(B68="",C68="",E68="",I68="",J68="",K68=""),"Missing core fields",IF(AND(E68="Selected",OR(F68="",G68="",H68="")),"Missing sample evidence","Recorded"))))</x:f>
      </x:c>
      <x:c r="M68" s="9" t="str">
        <x:f>IF(A68="","",IF(E68&lt;&gt;"Selected","Not selected",IF(OR(COUNTIFS('Work queue'!$B$6:$B$205,A68,'Work queue'!$F$6:$F$205,"Support A")=0,COUNTIFS('Work queue'!$B$6:$B$205,A68,'Work queue'!$F$6:$F$205,"Support C")=0),"Check missing A/C tasks","A/C tasks exist")))</x:f>
      </x:c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 ht="23" customHeight="1">
      <x:c r="A69" s="8"/>
      <x:c r="B69" s="6"/>
      <x:c r="C69" s="7"/>
      <x:c r="D69" s="6"/>
      <x:c r="E69" s="6"/>
      <x:c r="F69" s="7"/>
      <x:c r="G69" s="6"/>
      <x:c r="H69" s="6"/>
      <x:c r="I69" s="6"/>
      <x:c r="J69" s="6"/>
      <x:c r="K69" s="7"/>
      <x:c r="L69" s="9" t="str">
        <x:f>IF(A69="","",IF(COUNTIFS($A$6:$A$205,A69)&gt;1,"Duplicate client ID",IF(OR(B69="",C69="",E69="",I69="",J69="",K69=""),"Missing core fields",IF(AND(E69="Selected",OR(F69="",G69="",H69="")),"Missing sample evidence","Recorded"))))</x:f>
      </x:c>
      <x:c r="M69" s="9" t="str">
        <x:f>IF(A69="","",IF(E69&lt;&gt;"Selected","Not selected",IF(OR(COUNTIFS('Work queue'!$B$6:$B$205,A69,'Work queue'!$F$6:$F$205,"Support A")=0,COUNTIFS('Work queue'!$B$6:$B$205,A69,'Work queue'!$F$6:$F$205,"Support C")=0),"Check missing A/C tasks","A/C tasks exist")))</x:f>
      </x:c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 ht="23" customHeight="1">
      <x:c r="A70" s="8"/>
      <x:c r="B70" s="6"/>
      <x:c r="C70" s="7"/>
      <x:c r="D70" s="6"/>
      <x:c r="E70" s="6"/>
      <x:c r="F70" s="7"/>
      <x:c r="G70" s="6"/>
      <x:c r="H70" s="6"/>
      <x:c r="I70" s="6"/>
      <x:c r="J70" s="6"/>
      <x:c r="K70" s="7"/>
      <x:c r="L70" s="9" t="str">
        <x:f>IF(A70="","",IF(COUNTIFS($A$6:$A$205,A70)&gt;1,"Duplicate client ID",IF(OR(B70="",C70="",E70="",I70="",J70="",K70=""),"Missing core fields",IF(AND(E70="Selected",OR(F70="",G70="",H70="")),"Missing sample evidence","Recorded"))))</x:f>
      </x:c>
      <x:c r="M70" s="9" t="str">
        <x:f>IF(A70="","",IF(E70&lt;&gt;"Selected","Not selected",IF(OR(COUNTIFS('Work queue'!$B$6:$B$205,A70,'Work queue'!$F$6:$F$205,"Support A")=0,COUNTIFS('Work queue'!$B$6:$B$205,A70,'Work queue'!$F$6:$F$205,"Support C")=0),"Check missing A/C tasks","A/C tasks exist")))</x:f>
      </x:c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 ht="23" customHeight="1">
      <x:c r="A71" s="8"/>
      <x:c r="B71" s="6"/>
      <x:c r="C71" s="7"/>
      <x:c r="D71" s="6"/>
      <x:c r="E71" s="6"/>
      <x:c r="F71" s="7"/>
      <x:c r="G71" s="6"/>
      <x:c r="H71" s="6"/>
      <x:c r="I71" s="6"/>
      <x:c r="J71" s="6"/>
      <x:c r="K71" s="7"/>
      <x:c r="L71" s="9" t="str">
        <x:f>IF(A71="","",IF(COUNTIFS($A$6:$A$205,A71)&gt;1,"Duplicate client ID",IF(OR(B71="",C71="",E71="",I71="",J71="",K71=""),"Missing core fields",IF(AND(E71="Selected",OR(F71="",G71="",H71="")),"Missing sample evidence","Recorded"))))</x:f>
      </x:c>
      <x:c r="M71" s="9" t="str">
        <x:f>IF(A71="","",IF(E71&lt;&gt;"Selected","Not selected",IF(OR(COUNTIFS('Work queue'!$B$6:$B$205,A71,'Work queue'!$F$6:$F$205,"Support A")=0,COUNTIFS('Work queue'!$B$6:$B$205,A71,'Work queue'!$F$6:$F$205,"Support C")=0),"Check missing A/C tasks","A/C tasks exist")))</x:f>
      </x:c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 ht="23" customHeight="1">
      <x:c r="A72" s="8"/>
      <x:c r="B72" s="6"/>
      <x:c r="C72" s="7"/>
      <x:c r="D72" s="6"/>
      <x:c r="E72" s="6"/>
      <x:c r="F72" s="7"/>
      <x:c r="G72" s="6"/>
      <x:c r="H72" s="6"/>
      <x:c r="I72" s="6"/>
      <x:c r="J72" s="6"/>
      <x:c r="K72" s="7"/>
      <x:c r="L72" s="9" t="str">
        <x:f>IF(A72="","",IF(COUNTIFS($A$6:$A$205,A72)&gt;1,"Duplicate client ID",IF(OR(B72="",C72="",E72="",I72="",J72="",K72=""),"Missing core fields",IF(AND(E72="Selected",OR(F72="",G72="",H72="")),"Missing sample evidence","Recorded"))))</x:f>
      </x:c>
      <x:c r="M72" s="9" t="str">
        <x:f>IF(A72="","",IF(E72&lt;&gt;"Selected","Not selected",IF(OR(COUNTIFS('Work queue'!$B$6:$B$205,A72,'Work queue'!$F$6:$F$205,"Support A")=0,COUNTIFS('Work queue'!$B$6:$B$205,A72,'Work queue'!$F$6:$F$205,"Support C")=0),"Check missing A/C tasks","A/C tasks exist")))</x:f>
      </x:c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 ht="23" customHeight="1">
      <x:c r="A73" s="8"/>
      <x:c r="B73" s="6"/>
      <x:c r="C73" s="7"/>
      <x:c r="D73" s="6"/>
      <x:c r="E73" s="6"/>
      <x:c r="F73" s="7"/>
      <x:c r="G73" s="6"/>
      <x:c r="H73" s="6"/>
      <x:c r="I73" s="6"/>
      <x:c r="J73" s="6"/>
      <x:c r="K73" s="7"/>
      <x:c r="L73" s="9" t="str">
        <x:f>IF(A73="","",IF(COUNTIFS($A$6:$A$205,A73)&gt;1,"Duplicate client ID",IF(OR(B73="",C73="",E73="",I73="",J73="",K73=""),"Missing core fields",IF(AND(E73="Selected",OR(F73="",G73="",H73="")),"Missing sample evidence","Recorded"))))</x:f>
      </x:c>
      <x:c r="M73" s="9" t="str">
        <x:f>IF(A73="","",IF(E73&lt;&gt;"Selected","Not selected",IF(OR(COUNTIFS('Work queue'!$B$6:$B$205,A73,'Work queue'!$F$6:$F$205,"Support A")=0,COUNTIFS('Work queue'!$B$6:$B$205,A73,'Work queue'!$F$6:$F$205,"Support C")=0),"Check missing A/C tasks","A/C tasks exist")))</x:f>
      </x:c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 ht="23" customHeight="1">
      <x:c r="A74" s="8"/>
      <x:c r="B74" s="6"/>
      <x:c r="C74" s="7"/>
      <x:c r="D74" s="6"/>
      <x:c r="E74" s="6"/>
      <x:c r="F74" s="7"/>
      <x:c r="G74" s="6"/>
      <x:c r="H74" s="6"/>
      <x:c r="I74" s="6"/>
      <x:c r="J74" s="6"/>
      <x:c r="K74" s="7"/>
      <x:c r="L74" s="9" t="str">
        <x:f>IF(A74="","",IF(COUNTIFS($A$6:$A$205,A74)&gt;1,"Duplicate client ID",IF(OR(B74="",C74="",E74="",I74="",J74="",K74=""),"Missing core fields",IF(AND(E74="Selected",OR(F74="",G74="",H74="")),"Missing sample evidence","Recorded"))))</x:f>
      </x:c>
      <x:c r="M74" s="9" t="str">
        <x:f>IF(A74="","",IF(E74&lt;&gt;"Selected","Not selected",IF(OR(COUNTIFS('Work queue'!$B$6:$B$205,A74,'Work queue'!$F$6:$F$205,"Support A")=0,COUNTIFS('Work queue'!$B$6:$B$205,A74,'Work queue'!$F$6:$F$205,"Support C")=0),"Check missing A/C tasks","A/C tasks exist")))</x:f>
      </x:c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 ht="23" customHeight="1">
      <x:c r="A75" s="8"/>
      <x:c r="B75" s="6"/>
      <x:c r="C75" s="7"/>
      <x:c r="D75" s="6"/>
      <x:c r="E75" s="6"/>
      <x:c r="F75" s="7"/>
      <x:c r="G75" s="6"/>
      <x:c r="H75" s="6"/>
      <x:c r="I75" s="6"/>
      <x:c r="J75" s="6"/>
      <x:c r="K75" s="7"/>
      <x:c r="L75" s="9" t="str">
        <x:f>IF(A75="","",IF(COUNTIFS($A$6:$A$205,A75)&gt;1,"Duplicate client ID",IF(OR(B75="",C75="",E75="",I75="",J75="",K75=""),"Missing core fields",IF(AND(E75="Selected",OR(F75="",G75="",H75="")),"Missing sample evidence","Recorded"))))</x:f>
      </x:c>
      <x:c r="M75" s="9" t="str">
        <x:f>IF(A75="","",IF(E75&lt;&gt;"Selected","Not selected",IF(OR(COUNTIFS('Work queue'!$B$6:$B$205,A75,'Work queue'!$F$6:$F$205,"Support A")=0,COUNTIFS('Work queue'!$B$6:$B$205,A75,'Work queue'!$F$6:$F$205,"Support C")=0),"Check missing A/C tasks","A/C tasks exist")))</x:f>
      </x:c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 ht="23" customHeight="1">
      <x:c r="A76" s="8"/>
      <x:c r="B76" s="6"/>
      <x:c r="C76" s="7"/>
      <x:c r="D76" s="6"/>
      <x:c r="E76" s="6"/>
      <x:c r="F76" s="7"/>
      <x:c r="G76" s="6"/>
      <x:c r="H76" s="6"/>
      <x:c r="I76" s="6"/>
      <x:c r="J76" s="6"/>
      <x:c r="K76" s="7"/>
      <x:c r="L76" s="9" t="str">
        <x:f>IF(A76="","",IF(COUNTIFS($A$6:$A$205,A76)&gt;1,"Duplicate client ID",IF(OR(B76="",C76="",E76="",I76="",J76="",K76=""),"Missing core fields",IF(AND(E76="Selected",OR(F76="",G76="",H76="")),"Missing sample evidence","Recorded"))))</x:f>
      </x:c>
      <x:c r="M76" s="9" t="str">
        <x:f>IF(A76="","",IF(E76&lt;&gt;"Selected","Not selected",IF(OR(COUNTIFS('Work queue'!$B$6:$B$205,A76,'Work queue'!$F$6:$F$205,"Support A")=0,COUNTIFS('Work queue'!$B$6:$B$205,A76,'Work queue'!$F$6:$F$205,"Support C")=0),"Check missing A/C tasks","A/C tasks exist")))</x:f>
      </x:c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 ht="23" customHeight="1">
      <x:c r="A77" s="8"/>
      <x:c r="B77" s="6"/>
      <x:c r="C77" s="7"/>
      <x:c r="D77" s="6"/>
      <x:c r="E77" s="6"/>
      <x:c r="F77" s="7"/>
      <x:c r="G77" s="6"/>
      <x:c r="H77" s="6"/>
      <x:c r="I77" s="6"/>
      <x:c r="J77" s="6"/>
      <x:c r="K77" s="7"/>
      <x:c r="L77" s="9" t="str">
        <x:f>IF(A77="","",IF(COUNTIFS($A$6:$A$205,A77)&gt;1,"Duplicate client ID",IF(OR(B77="",C77="",E77="",I77="",J77="",K77=""),"Missing core fields",IF(AND(E77="Selected",OR(F77="",G77="",H77="")),"Missing sample evidence","Recorded"))))</x:f>
      </x:c>
      <x:c r="M77" s="9" t="str">
        <x:f>IF(A77="","",IF(E77&lt;&gt;"Selected","Not selected",IF(OR(COUNTIFS('Work queue'!$B$6:$B$205,A77,'Work queue'!$F$6:$F$205,"Support A")=0,COUNTIFS('Work queue'!$B$6:$B$205,A77,'Work queue'!$F$6:$F$205,"Support C")=0),"Check missing A/C tasks","A/C tasks exist")))</x:f>
      </x:c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 ht="23" customHeight="1">
      <x:c r="A78" s="8"/>
      <x:c r="B78" s="6"/>
      <x:c r="C78" s="7"/>
      <x:c r="D78" s="6"/>
      <x:c r="E78" s="6"/>
      <x:c r="F78" s="7"/>
      <x:c r="G78" s="6"/>
      <x:c r="H78" s="6"/>
      <x:c r="I78" s="6"/>
      <x:c r="J78" s="6"/>
      <x:c r="K78" s="7"/>
      <x:c r="L78" s="9" t="str">
        <x:f>IF(A78="","",IF(COUNTIFS($A$6:$A$205,A78)&gt;1,"Duplicate client ID",IF(OR(B78="",C78="",E78="",I78="",J78="",K78=""),"Missing core fields",IF(AND(E78="Selected",OR(F78="",G78="",H78="")),"Missing sample evidence","Recorded"))))</x:f>
      </x:c>
      <x:c r="M78" s="9" t="str">
        <x:f>IF(A78="","",IF(E78&lt;&gt;"Selected","Not selected",IF(OR(COUNTIFS('Work queue'!$B$6:$B$205,A78,'Work queue'!$F$6:$F$205,"Support A")=0,COUNTIFS('Work queue'!$B$6:$B$205,A78,'Work queue'!$F$6:$F$205,"Support C")=0),"Check missing A/C tasks","A/C tasks exist")))</x:f>
      </x:c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 ht="23" customHeight="1">
      <x:c r="A79" s="8"/>
      <x:c r="B79" s="6"/>
      <x:c r="C79" s="7"/>
      <x:c r="D79" s="6"/>
      <x:c r="E79" s="6"/>
      <x:c r="F79" s="7"/>
      <x:c r="G79" s="6"/>
      <x:c r="H79" s="6"/>
      <x:c r="I79" s="6"/>
      <x:c r="J79" s="6"/>
      <x:c r="K79" s="7"/>
      <x:c r="L79" s="9" t="str">
        <x:f>IF(A79="","",IF(COUNTIFS($A$6:$A$205,A79)&gt;1,"Duplicate client ID",IF(OR(B79="",C79="",E79="",I79="",J79="",K79=""),"Missing core fields",IF(AND(E79="Selected",OR(F79="",G79="",H79="")),"Missing sample evidence","Recorded"))))</x:f>
      </x:c>
      <x:c r="M79" s="9" t="str">
        <x:f>IF(A79="","",IF(E79&lt;&gt;"Selected","Not selected",IF(OR(COUNTIFS('Work queue'!$B$6:$B$205,A79,'Work queue'!$F$6:$F$205,"Support A")=0,COUNTIFS('Work queue'!$B$6:$B$205,A79,'Work queue'!$F$6:$F$205,"Support C")=0),"Check missing A/C tasks","A/C tasks exist")))</x:f>
      </x:c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 ht="23" customHeight="1">
      <x:c r="A80" s="8"/>
      <x:c r="B80" s="6"/>
      <x:c r="C80" s="7"/>
      <x:c r="D80" s="6"/>
      <x:c r="E80" s="6"/>
      <x:c r="F80" s="7"/>
      <x:c r="G80" s="6"/>
      <x:c r="H80" s="6"/>
      <x:c r="I80" s="6"/>
      <x:c r="J80" s="6"/>
      <x:c r="K80" s="7"/>
      <x:c r="L80" s="9" t="str">
        <x:f>IF(A80="","",IF(COUNTIFS($A$6:$A$205,A80)&gt;1,"Duplicate client ID",IF(OR(B80="",C80="",E80="",I80="",J80="",K80=""),"Missing core fields",IF(AND(E80="Selected",OR(F80="",G80="",H80="")),"Missing sample evidence","Recorded"))))</x:f>
      </x:c>
      <x:c r="M80" s="9" t="str">
        <x:f>IF(A80="","",IF(E80&lt;&gt;"Selected","Not selected",IF(OR(COUNTIFS('Work queue'!$B$6:$B$205,A80,'Work queue'!$F$6:$F$205,"Support A")=0,COUNTIFS('Work queue'!$B$6:$B$205,A80,'Work queue'!$F$6:$F$205,"Support C")=0),"Check missing A/C tasks","A/C tasks exist")))</x:f>
      </x:c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 ht="23" customHeight="1">
      <x:c r="A81" s="8"/>
      <x:c r="B81" s="6"/>
      <x:c r="C81" s="7"/>
      <x:c r="D81" s="6"/>
      <x:c r="E81" s="6"/>
      <x:c r="F81" s="7"/>
      <x:c r="G81" s="6"/>
      <x:c r="H81" s="6"/>
      <x:c r="I81" s="6"/>
      <x:c r="J81" s="6"/>
      <x:c r="K81" s="7"/>
      <x:c r="L81" s="9" t="str">
        <x:f>IF(A81="","",IF(COUNTIFS($A$6:$A$205,A81)&gt;1,"Duplicate client ID",IF(OR(B81="",C81="",E81="",I81="",J81="",K81=""),"Missing core fields",IF(AND(E81="Selected",OR(F81="",G81="",H81="")),"Missing sample evidence","Recorded"))))</x:f>
      </x:c>
      <x:c r="M81" s="9" t="str">
        <x:f>IF(A81="","",IF(E81&lt;&gt;"Selected","Not selected",IF(OR(COUNTIFS('Work queue'!$B$6:$B$205,A81,'Work queue'!$F$6:$F$205,"Support A")=0,COUNTIFS('Work queue'!$B$6:$B$205,A81,'Work queue'!$F$6:$F$205,"Support C")=0),"Check missing A/C tasks","A/C tasks exist")))</x:f>
      </x:c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 ht="23" customHeight="1">
      <x:c r="A82" s="8"/>
      <x:c r="B82" s="6"/>
      <x:c r="C82" s="7"/>
      <x:c r="D82" s="6"/>
      <x:c r="E82" s="6"/>
      <x:c r="F82" s="7"/>
      <x:c r="G82" s="6"/>
      <x:c r="H82" s="6"/>
      <x:c r="I82" s="6"/>
      <x:c r="J82" s="6"/>
      <x:c r="K82" s="7"/>
      <x:c r="L82" s="9" t="str">
        <x:f>IF(A82="","",IF(COUNTIFS($A$6:$A$205,A82)&gt;1,"Duplicate client ID",IF(OR(B82="",C82="",E82="",I82="",J82="",K82=""),"Missing core fields",IF(AND(E82="Selected",OR(F82="",G82="",H82="")),"Missing sample evidence","Recorded"))))</x:f>
      </x:c>
      <x:c r="M82" s="9" t="str">
        <x:f>IF(A82="","",IF(E82&lt;&gt;"Selected","Not selected",IF(OR(COUNTIFS('Work queue'!$B$6:$B$205,A82,'Work queue'!$F$6:$F$205,"Support A")=0,COUNTIFS('Work queue'!$B$6:$B$205,A82,'Work queue'!$F$6:$F$205,"Support C")=0),"Check missing A/C tasks","A/C tasks exist")))</x:f>
      </x:c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 ht="23" customHeight="1">
      <x:c r="A83" s="8"/>
      <x:c r="B83" s="6"/>
      <x:c r="C83" s="7"/>
      <x:c r="D83" s="6"/>
      <x:c r="E83" s="6"/>
      <x:c r="F83" s="7"/>
      <x:c r="G83" s="6"/>
      <x:c r="H83" s="6"/>
      <x:c r="I83" s="6"/>
      <x:c r="J83" s="6"/>
      <x:c r="K83" s="7"/>
      <x:c r="L83" s="9" t="str">
        <x:f>IF(A83="","",IF(COUNTIFS($A$6:$A$205,A83)&gt;1,"Duplicate client ID",IF(OR(B83="",C83="",E83="",I83="",J83="",K83=""),"Missing core fields",IF(AND(E83="Selected",OR(F83="",G83="",H83="")),"Missing sample evidence","Recorded"))))</x:f>
      </x:c>
      <x:c r="M83" s="9" t="str">
        <x:f>IF(A83="","",IF(E83&lt;&gt;"Selected","Not selected",IF(OR(COUNTIFS('Work queue'!$B$6:$B$205,A83,'Work queue'!$F$6:$F$205,"Support A")=0,COUNTIFS('Work queue'!$B$6:$B$205,A83,'Work queue'!$F$6:$F$205,"Support C")=0),"Check missing A/C tasks","A/C tasks exist")))</x:f>
      </x:c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 ht="23" customHeight="1">
      <x:c r="A84" s="8"/>
      <x:c r="B84" s="6"/>
      <x:c r="C84" s="7"/>
      <x:c r="D84" s="6"/>
      <x:c r="E84" s="6"/>
      <x:c r="F84" s="7"/>
      <x:c r="G84" s="6"/>
      <x:c r="H84" s="6"/>
      <x:c r="I84" s="6"/>
      <x:c r="J84" s="6"/>
      <x:c r="K84" s="7"/>
      <x:c r="L84" s="9" t="str">
        <x:f>IF(A84="","",IF(COUNTIFS($A$6:$A$205,A84)&gt;1,"Duplicate client ID",IF(OR(B84="",C84="",E84="",I84="",J84="",K84=""),"Missing core fields",IF(AND(E84="Selected",OR(F84="",G84="",H84="")),"Missing sample evidence","Recorded"))))</x:f>
      </x:c>
      <x:c r="M84" s="9" t="str">
        <x:f>IF(A84="","",IF(E84&lt;&gt;"Selected","Not selected",IF(OR(COUNTIFS('Work queue'!$B$6:$B$205,A84,'Work queue'!$F$6:$F$205,"Support A")=0,COUNTIFS('Work queue'!$B$6:$B$205,A84,'Work queue'!$F$6:$F$205,"Support C")=0),"Check missing A/C tasks","A/C tasks exist")))</x:f>
      </x:c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 ht="23" customHeight="1">
      <x:c r="A85" s="8"/>
      <x:c r="B85" s="6"/>
      <x:c r="C85" s="7"/>
      <x:c r="D85" s="6"/>
      <x:c r="E85" s="6"/>
      <x:c r="F85" s="7"/>
      <x:c r="G85" s="6"/>
      <x:c r="H85" s="6"/>
      <x:c r="I85" s="6"/>
      <x:c r="J85" s="6"/>
      <x:c r="K85" s="7"/>
      <x:c r="L85" s="9" t="str">
        <x:f>IF(A85="","",IF(COUNTIFS($A$6:$A$205,A85)&gt;1,"Duplicate client ID",IF(OR(B85="",C85="",E85="",I85="",J85="",K85=""),"Missing core fields",IF(AND(E85="Selected",OR(F85="",G85="",H85="")),"Missing sample evidence","Recorded"))))</x:f>
      </x:c>
      <x:c r="M85" s="9" t="str">
        <x:f>IF(A85="","",IF(E85&lt;&gt;"Selected","Not selected",IF(OR(COUNTIFS('Work queue'!$B$6:$B$205,A85,'Work queue'!$F$6:$F$205,"Support A")=0,COUNTIFS('Work queue'!$B$6:$B$205,A85,'Work queue'!$F$6:$F$205,"Support C")=0),"Check missing A/C tasks","A/C tasks exist")))</x:f>
      </x:c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 ht="23" customHeight="1">
      <x:c r="A86" s="8"/>
      <x:c r="B86" s="6"/>
      <x:c r="C86" s="7"/>
      <x:c r="D86" s="6"/>
      <x:c r="E86" s="6"/>
      <x:c r="F86" s="7"/>
      <x:c r="G86" s="6"/>
      <x:c r="H86" s="6"/>
      <x:c r="I86" s="6"/>
      <x:c r="J86" s="6"/>
      <x:c r="K86" s="7"/>
      <x:c r="L86" s="9" t="str">
        <x:f>IF(A86="","",IF(COUNTIFS($A$6:$A$205,A86)&gt;1,"Duplicate client ID",IF(OR(B86="",C86="",E86="",I86="",J86="",K86=""),"Missing core fields",IF(AND(E86="Selected",OR(F86="",G86="",H86="")),"Missing sample evidence","Recorded"))))</x:f>
      </x:c>
      <x:c r="M86" s="9" t="str">
        <x:f>IF(A86="","",IF(E86&lt;&gt;"Selected","Not selected",IF(OR(COUNTIFS('Work queue'!$B$6:$B$205,A86,'Work queue'!$F$6:$F$205,"Support A")=0,COUNTIFS('Work queue'!$B$6:$B$205,A86,'Work queue'!$F$6:$F$205,"Support C")=0),"Check missing A/C tasks","A/C tasks exist")))</x:f>
      </x:c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 ht="23" customHeight="1">
      <x:c r="A87" s="8"/>
      <x:c r="B87" s="6"/>
      <x:c r="C87" s="7"/>
      <x:c r="D87" s="6"/>
      <x:c r="E87" s="6"/>
      <x:c r="F87" s="7"/>
      <x:c r="G87" s="6"/>
      <x:c r="H87" s="6"/>
      <x:c r="I87" s="6"/>
      <x:c r="J87" s="6"/>
      <x:c r="K87" s="7"/>
      <x:c r="L87" s="9" t="str">
        <x:f>IF(A87="","",IF(COUNTIFS($A$6:$A$205,A87)&gt;1,"Duplicate client ID",IF(OR(B87="",C87="",E87="",I87="",J87="",K87=""),"Missing core fields",IF(AND(E87="Selected",OR(F87="",G87="",H87="")),"Missing sample evidence","Recorded"))))</x:f>
      </x:c>
      <x:c r="M87" s="9" t="str">
        <x:f>IF(A87="","",IF(E87&lt;&gt;"Selected","Not selected",IF(OR(COUNTIFS('Work queue'!$B$6:$B$205,A87,'Work queue'!$F$6:$F$205,"Support A")=0,COUNTIFS('Work queue'!$B$6:$B$205,A87,'Work queue'!$F$6:$F$205,"Support C")=0),"Check missing A/C tasks","A/C tasks exist")))</x:f>
      </x:c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 ht="23" customHeight="1">
      <x:c r="A88" s="8"/>
      <x:c r="B88" s="6"/>
      <x:c r="C88" s="7"/>
      <x:c r="D88" s="6"/>
      <x:c r="E88" s="6"/>
      <x:c r="F88" s="7"/>
      <x:c r="G88" s="6"/>
      <x:c r="H88" s="6"/>
      <x:c r="I88" s="6"/>
      <x:c r="J88" s="6"/>
      <x:c r="K88" s="7"/>
      <x:c r="L88" s="9" t="str">
        <x:f>IF(A88="","",IF(COUNTIFS($A$6:$A$205,A88)&gt;1,"Duplicate client ID",IF(OR(B88="",C88="",E88="",I88="",J88="",K88=""),"Missing core fields",IF(AND(E88="Selected",OR(F88="",G88="",H88="")),"Missing sample evidence","Recorded"))))</x:f>
      </x:c>
      <x:c r="M88" s="9" t="str">
        <x:f>IF(A88="","",IF(E88&lt;&gt;"Selected","Not selected",IF(OR(COUNTIFS('Work queue'!$B$6:$B$205,A88,'Work queue'!$F$6:$F$205,"Support A")=0,COUNTIFS('Work queue'!$B$6:$B$205,A88,'Work queue'!$F$6:$F$205,"Support C")=0),"Check missing A/C tasks","A/C tasks exist")))</x:f>
      </x:c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 ht="23" customHeight="1">
      <x:c r="A89" s="8"/>
      <x:c r="B89" s="6"/>
      <x:c r="C89" s="7"/>
      <x:c r="D89" s="6"/>
      <x:c r="E89" s="6"/>
      <x:c r="F89" s="7"/>
      <x:c r="G89" s="6"/>
      <x:c r="H89" s="6"/>
      <x:c r="I89" s="6"/>
      <x:c r="J89" s="6"/>
      <x:c r="K89" s="7"/>
      <x:c r="L89" s="9" t="str">
        <x:f>IF(A89="","",IF(COUNTIFS($A$6:$A$205,A89)&gt;1,"Duplicate client ID",IF(OR(B89="",C89="",E89="",I89="",J89="",K89=""),"Missing core fields",IF(AND(E89="Selected",OR(F89="",G89="",H89="")),"Missing sample evidence","Recorded"))))</x:f>
      </x:c>
      <x:c r="M89" s="9" t="str">
        <x:f>IF(A89="","",IF(E89&lt;&gt;"Selected","Not selected",IF(OR(COUNTIFS('Work queue'!$B$6:$B$205,A89,'Work queue'!$F$6:$F$205,"Support A")=0,COUNTIFS('Work queue'!$B$6:$B$205,A89,'Work queue'!$F$6:$F$205,"Support C")=0),"Check missing A/C tasks","A/C tasks exist")))</x:f>
      </x:c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 ht="23" customHeight="1">
      <x:c r="A90" s="8"/>
      <x:c r="B90" s="6"/>
      <x:c r="C90" s="7"/>
      <x:c r="D90" s="6"/>
      <x:c r="E90" s="6"/>
      <x:c r="F90" s="7"/>
      <x:c r="G90" s="6"/>
      <x:c r="H90" s="6"/>
      <x:c r="I90" s="6"/>
      <x:c r="J90" s="6"/>
      <x:c r="K90" s="7"/>
      <x:c r="L90" s="9" t="str">
        <x:f>IF(A90="","",IF(COUNTIFS($A$6:$A$205,A90)&gt;1,"Duplicate client ID",IF(OR(B90="",C90="",E90="",I90="",J90="",K90=""),"Missing core fields",IF(AND(E90="Selected",OR(F90="",G90="",H90="")),"Missing sample evidence","Recorded"))))</x:f>
      </x:c>
      <x:c r="M90" s="9" t="str">
        <x:f>IF(A90="","",IF(E90&lt;&gt;"Selected","Not selected",IF(OR(COUNTIFS('Work queue'!$B$6:$B$205,A90,'Work queue'!$F$6:$F$205,"Support A")=0,COUNTIFS('Work queue'!$B$6:$B$205,A90,'Work queue'!$F$6:$F$205,"Support C")=0),"Check missing A/C tasks","A/C tasks exist")))</x:f>
      </x:c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 ht="23" customHeight="1">
      <x:c r="A91" s="8"/>
      <x:c r="B91" s="6"/>
      <x:c r="C91" s="7"/>
      <x:c r="D91" s="6"/>
      <x:c r="E91" s="6"/>
      <x:c r="F91" s="7"/>
      <x:c r="G91" s="6"/>
      <x:c r="H91" s="6"/>
      <x:c r="I91" s="6"/>
      <x:c r="J91" s="6"/>
      <x:c r="K91" s="7"/>
      <x:c r="L91" s="9" t="str">
        <x:f>IF(A91="","",IF(COUNTIFS($A$6:$A$205,A91)&gt;1,"Duplicate client ID",IF(OR(B91="",C91="",E91="",I91="",J91="",K91=""),"Missing core fields",IF(AND(E91="Selected",OR(F91="",G91="",H91="")),"Missing sample evidence","Recorded"))))</x:f>
      </x:c>
      <x:c r="M91" s="9" t="str">
        <x:f>IF(A91="","",IF(E91&lt;&gt;"Selected","Not selected",IF(OR(COUNTIFS('Work queue'!$B$6:$B$205,A91,'Work queue'!$F$6:$F$205,"Support A")=0,COUNTIFS('Work queue'!$B$6:$B$205,A91,'Work queue'!$F$6:$F$205,"Support C")=0),"Check missing A/C tasks","A/C tasks exist")))</x:f>
      </x:c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 ht="23" customHeight="1">
      <x:c r="A92" s="8"/>
      <x:c r="B92" s="6"/>
      <x:c r="C92" s="7"/>
      <x:c r="D92" s="6"/>
      <x:c r="E92" s="6"/>
      <x:c r="F92" s="7"/>
      <x:c r="G92" s="6"/>
      <x:c r="H92" s="6"/>
      <x:c r="I92" s="6"/>
      <x:c r="J92" s="6"/>
      <x:c r="K92" s="7"/>
      <x:c r="L92" s="9" t="str">
        <x:f>IF(A92="","",IF(COUNTIFS($A$6:$A$205,A92)&gt;1,"Duplicate client ID",IF(OR(B92="",C92="",E92="",I92="",J92="",K92=""),"Missing core fields",IF(AND(E92="Selected",OR(F92="",G92="",H92="")),"Missing sample evidence","Recorded"))))</x:f>
      </x:c>
      <x:c r="M92" s="9" t="str">
        <x:f>IF(A92="","",IF(E92&lt;&gt;"Selected","Not selected",IF(OR(COUNTIFS('Work queue'!$B$6:$B$205,A92,'Work queue'!$F$6:$F$205,"Support A")=0,COUNTIFS('Work queue'!$B$6:$B$205,A92,'Work queue'!$F$6:$F$205,"Support C")=0),"Check missing A/C tasks","A/C tasks exist")))</x:f>
      </x:c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 ht="23" customHeight="1">
      <x:c r="A93" s="8"/>
      <x:c r="B93" s="6"/>
      <x:c r="C93" s="7"/>
      <x:c r="D93" s="6"/>
      <x:c r="E93" s="6"/>
      <x:c r="F93" s="7"/>
      <x:c r="G93" s="6"/>
      <x:c r="H93" s="6"/>
      <x:c r="I93" s="6"/>
      <x:c r="J93" s="6"/>
      <x:c r="K93" s="7"/>
      <x:c r="L93" s="9" t="str">
        <x:f>IF(A93="","",IF(COUNTIFS($A$6:$A$205,A93)&gt;1,"Duplicate client ID",IF(OR(B93="",C93="",E93="",I93="",J93="",K93=""),"Missing core fields",IF(AND(E93="Selected",OR(F93="",G93="",H93="")),"Missing sample evidence","Recorded"))))</x:f>
      </x:c>
      <x:c r="M93" s="9" t="str">
        <x:f>IF(A93="","",IF(E93&lt;&gt;"Selected","Not selected",IF(OR(COUNTIFS('Work queue'!$B$6:$B$205,A93,'Work queue'!$F$6:$F$205,"Support A")=0,COUNTIFS('Work queue'!$B$6:$B$205,A93,'Work queue'!$F$6:$F$205,"Support C")=0),"Check missing A/C tasks","A/C tasks exist")))</x:f>
      </x:c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 ht="23" customHeight="1">
      <x:c r="A94" s="8"/>
      <x:c r="B94" s="6"/>
      <x:c r="C94" s="7"/>
      <x:c r="D94" s="6"/>
      <x:c r="E94" s="6"/>
      <x:c r="F94" s="7"/>
      <x:c r="G94" s="6"/>
      <x:c r="H94" s="6"/>
      <x:c r="I94" s="6"/>
      <x:c r="J94" s="6"/>
      <x:c r="K94" s="7"/>
      <x:c r="L94" s="9" t="str">
        <x:f>IF(A94="","",IF(COUNTIFS($A$6:$A$205,A94)&gt;1,"Duplicate client ID",IF(OR(B94="",C94="",E94="",I94="",J94="",K94=""),"Missing core fields",IF(AND(E94="Selected",OR(F94="",G94="",H94="")),"Missing sample evidence","Recorded"))))</x:f>
      </x:c>
      <x:c r="M94" s="9" t="str">
        <x:f>IF(A94="","",IF(E94&lt;&gt;"Selected","Not selected",IF(OR(COUNTIFS('Work queue'!$B$6:$B$205,A94,'Work queue'!$F$6:$F$205,"Support A")=0,COUNTIFS('Work queue'!$B$6:$B$205,A94,'Work queue'!$F$6:$F$205,"Support C")=0),"Check missing A/C tasks","A/C tasks exist")))</x:f>
      </x:c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 ht="23" customHeight="1">
      <x:c r="A95" s="8"/>
      <x:c r="B95" s="6"/>
      <x:c r="C95" s="7"/>
      <x:c r="D95" s="6"/>
      <x:c r="E95" s="6"/>
      <x:c r="F95" s="7"/>
      <x:c r="G95" s="6"/>
      <x:c r="H95" s="6"/>
      <x:c r="I95" s="6"/>
      <x:c r="J95" s="6"/>
      <x:c r="K95" s="7"/>
      <x:c r="L95" s="9" t="str">
        <x:f>IF(A95="","",IF(COUNTIFS($A$6:$A$205,A95)&gt;1,"Duplicate client ID",IF(OR(B95="",C95="",E95="",I95="",J95="",K95=""),"Missing core fields",IF(AND(E95="Selected",OR(F95="",G95="",H95="")),"Missing sample evidence","Recorded"))))</x:f>
      </x:c>
      <x:c r="M95" s="9" t="str">
        <x:f>IF(A95="","",IF(E95&lt;&gt;"Selected","Not selected",IF(OR(COUNTIFS('Work queue'!$B$6:$B$205,A95,'Work queue'!$F$6:$F$205,"Support A")=0,COUNTIFS('Work queue'!$B$6:$B$205,A95,'Work queue'!$F$6:$F$205,"Support C")=0),"Check missing A/C tasks","A/C tasks exist")))</x:f>
      </x:c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 ht="23" customHeight="1">
      <x:c r="A96" s="8"/>
      <x:c r="B96" s="6"/>
      <x:c r="C96" s="7"/>
      <x:c r="D96" s="6"/>
      <x:c r="E96" s="6"/>
      <x:c r="F96" s="7"/>
      <x:c r="G96" s="6"/>
      <x:c r="H96" s="6"/>
      <x:c r="I96" s="6"/>
      <x:c r="J96" s="6"/>
      <x:c r="K96" s="7"/>
      <x:c r="L96" s="9" t="str">
        <x:f>IF(A96="","",IF(COUNTIFS($A$6:$A$205,A96)&gt;1,"Duplicate client ID",IF(OR(B96="",C96="",E96="",I96="",J96="",K96=""),"Missing core fields",IF(AND(E96="Selected",OR(F96="",G96="",H96="")),"Missing sample evidence","Recorded"))))</x:f>
      </x:c>
      <x:c r="M96" s="9" t="str">
        <x:f>IF(A96="","",IF(E96&lt;&gt;"Selected","Not selected",IF(OR(COUNTIFS('Work queue'!$B$6:$B$205,A96,'Work queue'!$F$6:$F$205,"Support A")=0,COUNTIFS('Work queue'!$B$6:$B$205,A96,'Work queue'!$F$6:$F$205,"Support C")=0),"Check missing A/C tasks","A/C tasks exist")))</x:f>
      </x:c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 ht="23" customHeight="1">
      <x:c r="A97" s="8"/>
      <x:c r="B97" s="6"/>
      <x:c r="C97" s="7"/>
      <x:c r="D97" s="6"/>
      <x:c r="E97" s="6"/>
      <x:c r="F97" s="7"/>
      <x:c r="G97" s="6"/>
      <x:c r="H97" s="6"/>
      <x:c r="I97" s="6"/>
      <x:c r="J97" s="6"/>
      <x:c r="K97" s="7"/>
      <x:c r="L97" s="9" t="str">
        <x:f>IF(A97="","",IF(COUNTIFS($A$6:$A$205,A97)&gt;1,"Duplicate client ID",IF(OR(B97="",C97="",E97="",I97="",J97="",K97=""),"Missing core fields",IF(AND(E97="Selected",OR(F97="",G97="",H97="")),"Missing sample evidence","Recorded"))))</x:f>
      </x:c>
      <x:c r="M97" s="9" t="str">
        <x:f>IF(A97="","",IF(E97&lt;&gt;"Selected","Not selected",IF(OR(COUNTIFS('Work queue'!$B$6:$B$205,A97,'Work queue'!$F$6:$F$205,"Support A")=0,COUNTIFS('Work queue'!$B$6:$B$205,A97,'Work queue'!$F$6:$F$205,"Support C")=0),"Check missing A/C tasks","A/C tasks exist")))</x:f>
      </x:c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 ht="23" customHeight="1">
      <x:c r="A98" s="8"/>
      <x:c r="B98" s="6"/>
      <x:c r="C98" s="7"/>
      <x:c r="D98" s="6"/>
      <x:c r="E98" s="6"/>
      <x:c r="F98" s="7"/>
      <x:c r="G98" s="6"/>
      <x:c r="H98" s="6"/>
      <x:c r="I98" s="6"/>
      <x:c r="J98" s="6"/>
      <x:c r="K98" s="7"/>
      <x:c r="L98" s="9" t="str">
        <x:f>IF(A98="","",IF(COUNTIFS($A$6:$A$205,A98)&gt;1,"Duplicate client ID",IF(OR(B98="",C98="",E98="",I98="",J98="",K98=""),"Missing core fields",IF(AND(E98="Selected",OR(F98="",G98="",H98="")),"Missing sample evidence","Recorded"))))</x:f>
      </x:c>
      <x:c r="M98" s="9" t="str">
        <x:f>IF(A98="","",IF(E98&lt;&gt;"Selected","Not selected",IF(OR(COUNTIFS('Work queue'!$B$6:$B$205,A98,'Work queue'!$F$6:$F$205,"Support A")=0,COUNTIFS('Work queue'!$B$6:$B$205,A98,'Work queue'!$F$6:$F$205,"Support C")=0),"Check missing A/C tasks","A/C tasks exist")))</x:f>
      </x:c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 ht="23" customHeight="1">
      <x:c r="A99" s="8"/>
      <x:c r="B99" s="6"/>
      <x:c r="C99" s="7"/>
      <x:c r="D99" s="6"/>
      <x:c r="E99" s="6"/>
      <x:c r="F99" s="7"/>
      <x:c r="G99" s="6"/>
      <x:c r="H99" s="6"/>
      <x:c r="I99" s="6"/>
      <x:c r="J99" s="6"/>
      <x:c r="K99" s="7"/>
      <x:c r="L99" s="9" t="str">
        <x:f>IF(A99="","",IF(COUNTIFS($A$6:$A$205,A99)&gt;1,"Duplicate client ID",IF(OR(B99="",C99="",E99="",I99="",J99="",K99=""),"Missing core fields",IF(AND(E99="Selected",OR(F99="",G99="",H99="")),"Missing sample evidence","Recorded"))))</x:f>
      </x:c>
      <x:c r="M99" s="9" t="str">
        <x:f>IF(A99="","",IF(E99&lt;&gt;"Selected","Not selected",IF(OR(COUNTIFS('Work queue'!$B$6:$B$205,A99,'Work queue'!$F$6:$F$205,"Support A")=0,COUNTIFS('Work queue'!$B$6:$B$205,A99,'Work queue'!$F$6:$F$205,"Support C")=0),"Check missing A/C tasks","A/C tasks exist")))</x:f>
      </x:c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 ht="23" customHeight="1">
      <x:c r="A100" s="8"/>
      <x:c r="B100" s="6"/>
      <x:c r="C100" s="7"/>
      <x:c r="D100" s="6"/>
      <x:c r="E100" s="6"/>
      <x:c r="F100" s="7"/>
      <x:c r="G100" s="6"/>
      <x:c r="H100" s="6"/>
      <x:c r="I100" s="6"/>
      <x:c r="J100" s="6"/>
      <x:c r="K100" s="7"/>
      <x:c r="L100" s="9" t="str">
        <x:f>IF(A100="","",IF(COUNTIFS($A$6:$A$205,A100)&gt;1,"Duplicate client ID",IF(OR(B100="",C100="",E100="",I100="",J100="",K100=""),"Missing core fields",IF(AND(E100="Selected",OR(F100="",G100="",H100="")),"Missing sample evidence","Recorded"))))</x:f>
      </x:c>
      <x:c r="M100" s="9" t="str">
        <x:f>IF(A100="","",IF(E100&lt;&gt;"Selected","Not selected",IF(OR(COUNTIFS('Work queue'!$B$6:$B$205,A100,'Work queue'!$F$6:$F$205,"Support A")=0,COUNTIFS('Work queue'!$B$6:$B$205,A100,'Work queue'!$F$6:$F$205,"Support C")=0),"Check missing A/C tasks","A/C tasks exist")))</x:f>
      </x:c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 ht="23" customHeight="1">
      <x:c r="A101" s="8"/>
      <x:c r="B101" s="6"/>
      <x:c r="C101" s="7"/>
      <x:c r="D101" s="6"/>
      <x:c r="E101" s="6"/>
      <x:c r="F101" s="7"/>
      <x:c r="G101" s="6"/>
      <x:c r="H101" s="6"/>
      <x:c r="I101" s="6"/>
      <x:c r="J101" s="6"/>
      <x:c r="K101" s="7"/>
      <x:c r="L101" s="9" t="str">
        <x:f>IF(A101="","",IF(COUNTIFS($A$6:$A$205,A101)&gt;1,"Duplicate client ID",IF(OR(B101="",C101="",E101="",I101="",J101="",K101=""),"Missing core fields",IF(AND(E101="Selected",OR(F101="",G101="",H101="")),"Missing sample evidence","Recorded"))))</x:f>
      </x:c>
      <x:c r="M101" s="9" t="str">
        <x:f>IF(A101="","",IF(E101&lt;&gt;"Selected","Not selected",IF(OR(COUNTIFS('Work queue'!$B$6:$B$205,A101,'Work queue'!$F$6:$F$205,"Support A")=0,COUNTIFS('Work queue'!$B$6:$B$205,A101,'Work queue'!$F$6:$F$205,"Support C")=0),"Check missing A/C tasks","A/C tasks exist")))</x:f>
      </x:c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 ht="23" customHeight="1">
      <x:c r="A102" s="8"/>
      <x:c r="B102" s="6"/>
      <x:c r="C102" s="7"/>
      <x:c r="D102" s="6"/>
      <x:c r="E102" s="6"/>
      <x:c r="F102" s="7"/>
      <x:c r="G102" s="6"/>
      <x:c r="H102" s="6"/>
      <x:c r="I102" s="6"/>
      <x:c r="J102" s="6"/>
      <x:c r="K102" s="7"/>
      <x:c r="L102" s="9" t="str">
        <x:f>IF(A102="","",IF(COUNTIFS($A$6:$A$205,A102)&gt;1,"Duplicate client ID",IF(OR(B102="",C102="",E102="",I102="",J102="",K102=""),"Missing core fields",IF(AND(E102="Selected",OR(F102="",G102="",H102="")),"Missing sample evidence","Recorded"))))</x:f>
      </x:c>
      <x:c r="M102" s="9" t="str">
        <x:f>IF(A102="","",IF(E102&lt;&gt;"Selected","Not selected",IF(OR(COUNTIFS('Work queue'!$B$6:$B$205,A102,'Work queue'!$F$6:$F$205,"Support A")=0,COUNTIFS('Work queue'!$B$6:$B$205,A102,'Work queue'!$F$6:$F$205,"Support C")=0),"Check missing A/C tasks","A/C tasks exist")))</x:f>
      </x:c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 ht="23" customHeight="1">
      <x:c r="A103" s="8"/>
      <x:c r="B103" s="6"/>
      <x:c r="C103" s="7"/>
      <x:c r="D103" s="6"/>
      <x:c r="E103" s="6"/>
      <x:c r="F103" s="7"/>
      <x:c r="G103" s="6"/>
      <x:c r="H103" s="6"/>
      <x:c r="I103" s="6"/>
      <x:c r="J103" s="6"/>
      <x:c r="K103" s="7"/>
      <x:c r="L103" s="9" t="str">
        <x:f>IF(A103="","",IF(COUNTIFS($A$6:$A$205,A103)&gt;1,"Duplicate client ID",IF(OR(B103="",C103="",E103="",I103="",J103="",K103=""),"Missing core fields",IF(AND(E103="Selected",OR(F103="",G103="",H103="")),"Missing sample evidence","Recorded"))))</x:f>
      </x:c>
      <x:c r="M103" s="9" t="str">
        <x:f>IF(A103="","",IF(E103&lt;&gt;"Selected","Not selected",IF(OR(COUNTIFS('Work queue'!$B$6:$B$205,A103,'Work queue'!$F$6:$F$205,"Support A")=0,COUNTIFS('Work queue'!$B$6:$B$205,A103,'Work queue'!$F$6:$F$205,"Support C")=0),"Check missing A/C tasks","A/C tasks exist")))</x:f>
      </x:c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 ht="23" customHeight="1">
      <x:c r="A104" s="8"/>
      <x:c r="B104" s="6"/>
      <x:c r="C104" s="7"/>
      <x:c r="D104" s="6"/>
      <x:c r="E104" s="6"/>
      <x:c r="F104" s="7"/>
      <x:c r="G104" s="6"/>
      <x:c r="H104" s="6"/>
      <x:c r="I104" s="6"/>
      <x:c r="J104" s="6"/>
      <x:c r="K104" s="7"/>
      <x:c r="L104" s="9" t="str">
        <x:f>IF(A104="","",IF(COUNTIFS($A$6:$A$205,A104)&gt;1,"Duplicate client ID",IF(OR(B104="",C104="",E104="",I104="",J104="",K104=""),"Missing core fields",IF(AND(E104="Selected",OR(F104="",G104="",H104="")),"Missing sample evidence","Recorded"))))</x:f>
      </x:c>
      <x:c r="M104" s="9" t="str">
        <x:f>IF(A104="","",IF(E104&lt;&gt;"Selected","Not selected",IF(OR(COUNTIFS('Work queue'!$B$6:$B$205,A104,'Work queue'!$F$6:$F$205,"Support A")=0,COUNTIFS('Work queue'!$B$6:$B$205,A104,'Work queue'!$F$6:$F$205,"Support C")=0),"Check missing A/C tasks","A/C tasks exist")))</x:f>
      </x:c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 ht="23" customHeight="1">
      <x:c r="A105" s="8"/>
      <x:c r="B105" s="6"/>
      <x:c r="C105" s="7"/>
      <x:c r="D105" s="6"/>
      <x:c r="E105" s="6"/>
      <x:c r="F105" s="7"/>
      <x:c r="G105" s="6"/>
      <x:c r="H105" s="6"/>
      <x:c r="I105" s="6"/>
      <x:c r="J105" s="6"/>
      <x:c r="K105" s="7"/>
      <x:c r="L105" s="9" t="str">
        <x:f>IF(A105="","",IF(COUNTIFS($A$6:$A$205,A105)&gt;1,"Duplicate client ID",IF(OR(B105="",C105="",E105="",I105="",J105="",K105=""),"Missing core fields",IF(AND(E105="Selected",OR(F105="",G105="",H105="")),"Missing sample evidence","Recorded"))))</x:f>
      </x:c>
      <x:c r="M105" s="9" t="str">
        <x:f>IF(A105="","",IF(E105&lt;&gt;"Selected","Not selected",IF(OR(COUNTIFS('Work queue'!$B$6:$B$205,A105,'Work queue'!$F$6:$F$205,"Support A")=0,COUNTIFS('Work queue'!$B$6:$B$205,A105,'Work queue'!$F$6:$F$205,"Support C")=0),"Check missing A/C tasks","A/C tasks exist")))</x:f>
      </x:c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 ht="23" customHeight="1">
      <x:c r="A106" s="8"/>
      <x:c r="B106" s="6"/>
      <x:c r="C106" s="7"/>
      <x:c r="D106" s="6"/>
      <x:c r="E106" s="6"/>
      <x:c r="F106" s="7"/>
      <x:c r="G106" s="6"/>
      <x:c r="H106" s="6"/>
      <x:c r="I106" s="6"/>
      <x:c r="J106" s="6"/>
      <x:c r="K106" s="7"/>
      <x:c r="L106" s="9" t="str">
        <x:f>IF(A106="","",IF(COUNTIFS($A$6:$A$205,A106)&gt;1,"Duplicate client ID",IF(OR(B106="",C106="",E106="",I106="",J106="",K106=""),"Missing core fields",IF(AND(E106="Selected",OR(F106="",G106="",H106="")),"Missing sample evidence","Recorded"))))</x:f>
      </x:c>
      <x:c r="M106" s="9" t="str">
        <x:f>IF(A106="","",IF(E106&lt;&gt;"Selected","Not selected",IF(OR(COUNTIFS('Work queue'!$B$6:$B$205,A106,'Work queue'!$F$6:$F$205,"Support A")=0,COUNTIFS('Work queue'!$B$6:$B$205,A106,'Work queue'!$F$6:$F$205,"Support C")=0),"Check missing A/C tasks","A/C tasks exist")))</x:f>
      </x:c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 ht="23" customHeight="1">
      <x:c r="A107" s="8"/>
      <x:c r="B107" s="6"/>
      <x:c r="C107" s="7"/>
      <x:c r="D107" s="6"/>
      <x:c r="E107" s="6"/>
      <x:c r="F107" s="7"/>
      <x:c r="G107" s="6"/>
      <x:c r="H107" s="6"/>
      <x:c r="I107" s="6"/>
      <x:c r="J107" s="6"/>
      <x:c r="K107" s="7"/>
      <x:c r="L107" s="9" t="str">
        <x:f>IF(A107="","",IF(COUNTIFS($A$6:$A$205,A107)&gt;1,"Duplicate client ID",IF(OR(B107="",C107="",E107="",I107="",J107="",K107=""),"Missing core fields",IF(AND(E107="Selected",OR(F107="",G107="",H107="")),"Missing sample evidence","Recorded"))))</x:f>
      </x:c>
      <x:c r="M107" s="9" t="str">
        <x:f>IF(A107="","",IF(E107&lt;&gt;"Selected","Not selected",IF(OR(COUNTIFS('Work queue'!$B$6:$B$205,A107,'Work queue'!$F$6:$F$205,"Support A")=0,COUNTIFS('Work queue'!$B$6:$B$205,A107,'Work queue'!$F$6:$F$205,"Support C")=0),"Check missing A/C tasks","A/C tasks exist")))</x:f>
      </x:c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 ht="23" customHeight="1">
      <x:c r="A108" s="8"/>
      <x:c r="B108" s="6"/>
      <x:c r="C108" s="7"/>
      <x:c r="D108" s="6"/>
      <x:c r="E108" s="6"/>
      <x:c r="F108" s="7"/>
      <x:c r="G108" s="6"/>
      <x:c r="H108" s="6"/>
      <x:c r="I108" s="6"/>
      <x:c r="J108" s="6"/>
      <x:c r="K108" s="7"/>
      <x:c r="L108" s="9" t="str">
        <x:f>IF(A108="","",IF(COUNTIFS($A$6:$A$205,A108)&gt;1,"Duplicate client ID",IF(OR(B108="",C108="",E108="",I108="",J108="",K108=""),"Missing core fields",IF(AND(E108="Selected",OR(F108="",G108="",H108="")),"Missing sample evidence","Recorded"))))</x:f>
      </x:c>
      <x:c r="M108" s="9" t="str">
        <x:f>IF(A108="","",IF(E108&lt;&gt;"Selected","Not selected",IF(OR(COUNTIFS('Work queue'!$B$6:$B$205,A108,'Work queue'!$F$6:$F$205,"Support A")=0,COUNTIFS('Work queue'!$B$6:$B$205,A108,'Work queue'!$F$6:$F$205,"Support C")=0),"Check missing A/C tasks","A/C tasks exist")))</x:f>
      </x:c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 ht="23" customHeight="1">
      <x:c r="A109" s="8"/>
      <x:c r="B109" s="6"/>
      <x:c r="C109" s="7"/>
      <x:c r="D109" s="6"/>
      <x:c r="E109" s="6"/>
      <x:c r="F109" s="7"/>
      <x:c r="G109" s="6"/>
      <x:c r="H109" s="6"/>
      <x:c r="I109" s="6"/>
      <x:c r="J109" s="6"/>
      <x:c r="K109" s="7"/>
      <x:c r="L109" s="9" t="str">
        <x:f>IF(A109="","",IF(COUNTIFS($A$6:$A$205,A109)&gt;1,"Duplicate client ID",IF(OR(B109="",C109="",E109="",I109="",J109="",K109=""),"Missing core fields",IF(AND(E109="Selected",OR(F109="",G109="",H109="")),"Missing sample evidence","Recorded"))))</x:f>
      </x:c>
      <x:c r="M109" s="9" t="str">
        <x:f>IF(A109="","",IF(E109&lt;&gt;"Selected","Not selected",IF(OR(COUNTIFS('Work queue'!$B$6:$B$205,A109,'Work queue'!$F$6:$F$205,"Support A")=0,COUNTIFS('Work queue'!$B$6:$B$205,A109,'Work queue'!$F$6:$F$205,"Support C")=0),"Check missing A/C tasks","A/C tasks exist")))</x:f>
      </x:c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 ht="23" customHeight="1">
      <x:c r="A110" s="8"/>
      <x:c r="B110" s="6"/>
      <x:c r="C110" s="7"/>
      <x:c r="D110" s="6"/>
      <x:c r="E110" s="6"/>
      <x:c r="F110" s="7"/>
      <x:c r="G110" s="6"/>
      <x:c r="H110" s="6"/>
      <x:c r="I110" s="6"/>
      <x:c r="J110" s="6"/>
      <x:c r="K110" s="7"/>
      <x:c r="L110" s="9" t="str">
        <x:f>IF(A110="","",IF(COUNTIFS($A$6:$A$205,A110)&gt;1,"Duplicate client ID",IF(OR(B110="",C110="",E110="",I110="",J110="",K110=""),"Missing core fields",IF(AND(E110="Selected",OR(F110="",G110="",H110="")),"Missing sample evidence","Recorded"))))</x:f>
      </x:c>
      <x:c r="M110" s="9" t="str">
        <x:f>IF(A110="","",IF(E110&lt;&gt;"Selected","Not selected",IF(OR(COUNTIFS('Work queue'!$B$6:$B$205,A110,'Work queue'!$F$6:$F$205,"Support A")=0,COUNTIFS('Work queue'!$B$6:$B$205,A110,'Work queue'!$F$6:$F$205,"Support C")=0),"Check missing A/C tasks","A/C tasks exist")))</x:f>
      </x:c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 ht="23" customHeight="1">
      <x:c r="A111" s="8"/>
      <x:c r="B111" s="6"/>
      <x:c r="C111" s="7"/>
      <x:c r="D111" s="6"/>
      <x:c r="E111" s="6"/>
      <x:c r="F111" s="7"/>
      <x:c r="G111" s="6"/>
      <x:c r="H111" s="6"/>
      <x:c r="I111" s="6"/>
      <x:c r="J111" s="6"/>
      <x:c r="K111" s="7"/>
      <x:c r="L111" s="9" t="str">
        <x:f>IF(A111="","",IF(COUNTIFS($A$6:$A$205,A111)&gt;1,"Duplicate client ID",IF(OR(B111="",C111="",E111="",I111="",J111="",K111=""),"Missing core fields",IF(AND(E111="Selected",OR(F111="",G111="",H111="")),"Missing sample evidence","Recorded"))))</x:f>
      </x:c>
      <x:c r="M111" s="9" t="str">
        <x:f>IF(A111="","",IF(E111&lt;&gt;"Selected","Not selected",IF(OR(COUNTIFS('Work queue'!$B$6:$B$205,A111,'Work queue'!$F$6:$F$205,"Support A")=0,COUNTIFS('Work queue'!$B$6:$B$205,A111,'Work queue'!$F$6:$F$205,"Support C")=0),"Check missing A/C tasks","A/C tasks exist")))</x:f>
      </x:c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 ht="23" customHeight="1">
      <x:c r="A112" s="8"/>
      <x:c r="B112" s="6"/>
      <x:c r="C112" s="7"/>
      <x:c r="D112" s="6"/>
      <x:c r="E112" s="6"/>
      <x:c r="F112" s="7"/>
      <x:c r="G112" s="6"/>
      <x:c r="H112" s="6"/>
      <x:c r="I112" s="6"/>
      <x:c r="J112" s="6"/>
      <x:c r="K112" s="7"/>
      <x:c r="L112" s="9" t="str">
        <x:f>IF(A112="","",IF(COUNTIFS($A$6:$A$205,A112)&gt;1,"Duplicate client ID",IF(OR(B112="",C112="",E112="",I112="",J112="",K112=""),"Missing core fields",IF(AND(E112="Selected",OR(F112="",G112="",H112="")),"Missing sample evidence","Recorded"))))</x:f>
      </x:c>
      <x:c r="M112" s="9" t="str">
        <x:f>IF(A112="","",IF(E112&lt;&gt;"Selected","Not selected",IF(OR(COUNTIFS('Work queue'!$B$6:$B$205,A112,'Work queue'!$F$6:$F$205,"Support A")=0,COUNTIFS('Work queue'!$B$6:$B$205,A112,'Work queue'!$F$6:$F$205,"Support C")=0),"Check missing A/C tasks","A/C tasks exist")))</x:f>
      </x:c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 ht="23" customHeight="1">
      <x:c r="A113" s="8"/>
      <x:c r="B113" s="6"/>
      <x:c r="C113" s="7"/>
      <x:c r="D113" s="6"/>
      <x:c r="E113" s="6"/>
      <x:c r="F113" s="7"/>
      <x:c r="G113" s="6"/>
      <x:c r="H113" s="6"/>
      <x:c r="I113" s="6"/>
      <x:c r="J113" s="6"/>
      <x:c r="K113" s="7"/>
      <x:c r="L113" s="9" t="str">
        <x:f>IF(A113="","",IF(COUNTIFS($A$6:$A$205,A113)&gt;1,"Duplicate client ID",IF(OR(B113="",C113="",E113="",I113="",J113="",K113=""),"Missing core fields",IF(AND(E113="Selected",OR(F113="",G113="",H113="")),"Missing sample evidence","Recorded"))))</x:f>
      </x:c>
      <x:c r="M113" s="9" t="str">
        <x:f>IF(A113="","",IF(E113&lt;&gt;"Selected","Not selected",IF(OR(COUNTIFS('Work queue'!$B$6:$B$205,A113,'Work queue'!$F$6:$F$205,"Support A")=0,COUNTIFS('Work queue'!$B$6:$B$205,A113,'Work queue'!$F$6:$F$205,"Support C")=0),"Check missing A/C tasks","A/C tasks exist")))</x:f>
      </x:c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 ht="23" customHeight="1">
      <x:c r="A114" s="8"/>
      <x:c r="B114" s="6"/>
      <x:c r="C114" s="7"/>
      <x:c r="D114" s="6"/>
      <x:c r="E114" s="6"/>
      <x:c r="F114" s="7"/>
      <x:c r="G114" s="6"/>
      <x:c r="H114" s="6"/>
      <x:c r="I114" s="6"/>
      <x:c r="J114" s="6"/>
      <x:c r="K114" s="7"/>
      <x:c r="L114" s="9" t="str">
        <x:f>IF(A114="","",IF(COUNTIFS($A$6:$A$205,A114)&gt;1,"Duplicate client ID",IF(OR(B114="",C114="",E114="",I114="",J114="",K114=""),"Missing core fields",IF(AND(E114="Selected",OR(F114="",G114="",H114="")),"Missing sample evidence","Recorded"))))</x:f>
      </x:c>
      <x:c r="M114" s="9" t="str">
        <x:f>IF(A114="","",IF(E114&lt;&gt;"Selected","Not selected",IF(OR(COUNTIFS('Work queue'!$B$6:$B$205,A114,'Work queue'!$F$6:$F$205,"Support A")=0,COUNTIFS('Work queue'!$B$6:$B$205,A114,'Work queue'!$F$6:$F$205,"Support C")=0),"Check missing A/C tasks","A/C tasks exist")))</x:f>
      </x:c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 ht="23" customHeight="1">
      <x:c r="A115" s="8"/>
      <x:c r="B115" s="6"/>
      <x:c r="C115" s="7"/>
      <x:c r="D115" s="6"/>
      <x:c r="E115" s="6"/>
      <x:c r="F115" s="7"/>
      <x:c r="G115" s="6"/>
      <x:c r="H115" s="6"/>
      <x:c r="I115" s="6"/>
      <x:c r="J115" s="6"/>
      <x:c r="K115" s="7"/>
      <x:c r="L115" s="9" t="str">
        <x:f>IF(A115="","",IF(COUNTIFS($A$6:$A$205,A115)&gt;1,"Duplicate client ID",IF(OR(B115="",C115="",E115="",I115="",J115="",K115=""),"Missing core fields",IF(AND(E115="Selected",OR(F115="",G115="",H115="")),"Missing sample evidence","Recorded"))))</x:f>
      </x:c>
      <x:c r="M115" s="9" t="str">
        <x:f>IF(A115="","",IF(E115&lt;&gt;"Selected","Not selected",IF(OR(COUNTIFS('Work queue'!$B$6:$B$205,A115,'Work queue'!$F$6:$F$205,"Support A")=0,COUNTIFS('Work queue'!$B$6:$B$205,A115,'Work queue'!$F$6:$F$205,"Support C")=0),"Check missing A/C tasks","A/C tasks exist")))</x:f>
      </x:c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 ht="23" customHeight="1">
      <x:c r="A116" s="8"/>
      <x:c r="B116" s="6"/>
      <x:c r="C116" s="7"/>
      <x:c r="D116" s="6"/>
      <x:c r="E116" s="6"/>
      <x:c r="F116" s="7"/>
      <x:c r="G116" s="6"/>
      <x:c r="H116" s="6"/>
      <x:c r="I116" s="6"/>
      <x:c r="J116" s="6"/>
      <x:c r="K116" s="7"/>
      <x:c r="L116" s="9" t="str">
        <x:f>IF(A116="","",IF(COUNTIFS($A$6:$A$205,A116)&gt;1,"Duplicate client ID",IF(OR(B116="",C116="",E116="",I116="",J116="",K116=""),"Missing core fields",IF(AND(E116="Selected",OR(F116="",G116="",H116="")),"Missing sample evidence","Recorded"))))</x:f>
      </x:c>
      <x:c r="M116" s="9" t="str">
        <x:f>IF(A116="","",IF(E116&lt;&gt;"Selected","Not selected",IF(OR(COUNTIFS('Work queue'!$B$6:$B$205,A116,'Work queue'!$F$6:$F$205,"Support A")=0,COUNTIFS('Work queue'!$B$6:$B$205,A116,'Work queue'!$F$6:$F$205,"Support C")=0),"Check missing A/C tasks","A/C tasks exist")))</x:f>
      </x:c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 ht="23" customHeight="1">
      <x:c r="A117" s="8"/>
      <x:c r="B117" s="6"/>
      <x:c r="C117" s="7"/>
      <x:c r="D117" s="6"/>
      <x:c r="E117" s="6"/>
      <x:c r="F117" s="7"/>
      <x:c r="G117" s="6"/>
      <x:c r="H117" s="6"/>
      <x:c r="I117" s="6"/>
      <x:c r="J117" s="6"/>
      <x:c r="K117" s="7"/>
      <x:c r="L117" s="9" t="str">
        <x:f>IF(A117="","",IF(COUNTIFS($A$6:$A$205,A117)&gt;1,"Duplicate client ID",IF(OR(B117="",C117="",E117="",I117="",J117="",K117=""),"Missing core fields",IF(AND(E117="Selected",OR(F117="",G117="",H117="")),"Missing sample evidence","Recorded"))))</x:f>
      </x:c>
      <x:c r="M117" s="9" t="str">
        <x:f>IF(A117="","",IF(E117&lt;&gt;"Selected","Not selected",IF(OR(COUNTIFS('Work queue'!$B$6:$B$205,A117,'Work queue'!$F$6:$F$205,"Support A")=0,COUNTIFS('Work queue'!$B$6:$B$205,A117,'Work queue'!$F$6:$F$205,"Support C")=0),"Check missing A/C tasks","A/C tasks exist")))</x:f>
      </x:c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 ht="23" customHeight="1">
      <x:c r="A118" s="8"/>
      <x:c r="B118" s="6"/>
      <x:c r="C118" s="7"/>
      <x:c r="D118" s="6"/>
      <x:c r="E118" s="6"/>
      <x:c r="F118" s="7"/>
      <x:c r="G118" s="6"/>
      <x:c r="H118" s="6"/>
      <x:c r="I118" s="6"/>
      <x:c r="J118" s="6"/>
      <x:c r="K118" s="7"/>
      <x:c r="L118" s="9" t="str">
        <x:f>IF(A118="","",IF(COUNTIFS($A$6:$A$205,A118)&gt;1,"Duplicate client ID",IF(OR(B118="",C118="",E118="",I118="",J118="",K118=""),"Missing core fields",IF(AND(E118="Selected",OR(F118="",G118="",H118="")),"Missing sample evidence","Recorded"))))</x:f>
      </x:c>
      <x:c r="M118" s="9" t="str">
        <x:f>IF(A118="","",IF(E118&lt;&gt;"Selected","Not selected",IF(OR(COUNTIFS('Work queue'!$B$6:$B$205,A118,'Work queue'!$F$6:$F$205,"Support A")=0,COUNTIFS('Work queue'!$B$6:$B$205,A118,'Work queue'!$F$6:$F$205,"Support C")=0),"Check missing A/C tasks","A/C tasks exist")))</x:f>
      </x:c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 ht="23" customHeight="1">
      <x:c r="A119" s="8"/>
      <x:c r="B119" s="6"/>
      <x:c r="C119" s="7"/>
      <x:c r="D119" s="6"/>
      <x:c r="E119" s="6"/>
      <x:c r="F119" s="7"/>
      <x:c r="G119" s="6"/>
      <x:c r="H119" s="6"/>
      <x:c r="I119" s="6"/>
      <x:c r="J119" s="6"/>
      <x:c r="K119" s="7"/>
      <x:c r="L119" s="9" t="str">
        <x:f>IF(A119="","",IF(COUNTIFS($A$6:$A$205,A119)&gt;1,"Duplicate client ID",IF(OR(B119="",C119="",E119="",I119="",J119="",K119=""),"Missing core fields",IF(AND(E119="Selected",OR(F119="",G119="",H119="")),"Missing sample evidence","Recorded"))))</x:f>
      </x:c>
      <x:c r="M119" s="9" t="str">
        <x:f>IF(A119="","",IF(E119&lt;&gt;"Selected","Not selected",IF(OR(COUNTIFS('Work queue'!$B$6:$B$205,A119,'Work queue'!$F$6:$F$205,"Support A")=0,COUNTIFS('Work queue'!$B$6:$B$205,A119,'Work queue'!$F$6:$F$205,"Support C")=0),"Check missing A/C tasks","A/C tasks exist")))</x:f>
      </x:c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 ht="23" customHeight="1">
      <x:c r="A120" s="8"/>
      <x:c r="B120" s="6"/>
      <x:c r="C120" s="7"/>
      <x:c r="D120" s="6"/>
      <x:c r="E120" s="6"/>
      <x:c r="F120" s="7"/>
      <x:c r="G120" s="6"/>
      <x:c r="H120" s="6"/>
      <x:c r="I120" s="6"/>
      <x:c r="J120" s="6"/>
      <x:c r="K120" s="7"/>
      <x:c r="L120" s="9" t="str">
        <x:f>IF(A120="","",IF(COUNTIFS($A$6:$A$205,A120)&gt;1,"Duplicate client ID",IF(OR(B120="",C120="",E120="",I120="",J120="",K120=""),"Missing core fields",IF(AND(E120="Selected",OR(F120="",G120="",H120="")),"Missing sample evidence","Recorded"))))</x:f>
      </x:c>
      <x:c r="M120" s="9" t="str">
        <x:f>IF(A120="","",IF(E120&lt;&gt;"Selected","Not selected",IF(OR(COUNTIFS('Work queue'!$B$6:$B$205,A120,'Work queue'!$F$6:$F$205,"Support A")=0,COUNTIFS('Work queue'!$B$6:$B$205,A120,'Work queue'!$F$6:$F$205,"Support C")=0),"Check missing A/C tasks","A/C tasks exist")))</x:f>
      </x:c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 ht="23" customHeight="1">
      <x:c r="A121" s="8"/>
      <x:c r="B121" s="6"/>
      <x:c r="C121" s="7"/>
      <x:c r="D121" s="6"/>
      <x:c r="E121" s="6"/>
      <x:c r="F121" s="7"/>
      <x:c r="G121" s="6"/>
      <x:c r="H121" s="6"/>
      <x:c r="I121" s="6"/>
      <x:c r="J121" s="6"/>
      <x:c r="K121" s="7"/>
      <x:c r="L121" s="9" t="str">
        <x:f>IF(A121="","",IF(COUNTIFS($A$6:$A$205,A121)&gt;1,"Duplicate client ID",IF(OR(B121="",C121="",E121="",I121="",J121="",K121=""),"Missing core fields",IF(AND(E121="Selected",OR(F121="",G121="",H121="")),"Missing sample evidence","Recorded"))))</x:f>
      </x:c>
      <x:c r="M121" s="9" t="str">
        <x:f>IF(A121="","",IF(E121&lt;&gt;"Selected","Not selected",IF(OR(COUNTIFS('Work queue'!$B$6:$B$205,A121,'Work queue'!$F$6:$F$205,"Support A")=0,COUNTIFS('Work queue'!$B$6:$B$205,A121,'Work queue'!$F$6:$F$205,"Support C")=0),"Check missing A/C tasks","A/C tasks exist")))</x:f>
      </x:c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 ht="23" customHeight="1">
      <x:c r="A122" s="8"/>
      <x:c r="B122" s="6"/>
      <x:c r="C122" s="7"/>
      <x:c r="D122" s="6"/>
      <x:c r="E122" s="6"/>
      <x:c r="F122" s="7"/>
      <x:c r="G122" s="6"/>
      <x:c r="H122" s="6"/>
      <x:c r="I122" s="6"/>
      <x:c r="J122" s="6"/>
      <x:c r="K122" s="7"/>
      <x:c r="L122" s="9" t="str">
        <x:f>IF(A122="","",IF(COUNTIFS($A$6:$A$205,A122)&gt;1,"Duplicate client ID",IF(OR(B122="",C122="",E122="",I122="",J122="",K122=""),"Missing core fields",IF(AND(E122="Selected",OR(F122="",G122="",H122="")),"Missing sample evidence","Recorded"))))</x:f>
      </x:c>
      <x:c r="M122" s="9" t="str">
        <x:f>IF(A122="","",IF(E122&lt;&gt;"Selected","Not selected",IF(OR(COUNTIFS('Work queue'!$B$6:$B$205,A122,'Work queue'!$F$6:$F$205,"Support A")=0,COUNTIFS('Work queue'!$B$6:$B$205,A122,'Work queue'!$F$6:$F$205,"Support C")=0),"Check missing A/C tasks","A/C tasks exist")))</x:f>
      </x:c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 ht="23" customHeight="1">
      <x:c r="A123" s="8"/>
      <x:c r="B123" s="6"/>
      <x:c r="C123" s="7"/>
      <x:c r="D123" s="6"/>
      <x:c r="E123" s="6"/>
      <x:c r="F123" s="7"/>
      <x:c r="G123" s="6"/>
      <x:c r="H123" s="6"/>
      <x:c r="I123" s="6"/>
      <x:c r="J123" s="6"/>
      <x:c r="K123" s="7"/>
      <x:c r="L123" s="9" t="str">
        <x:f>IF(A123="","",IF(COUNTIFS($A$6:$A$205,A123)&gt;1,"Duplicate client ID",IF(OR(B123="",C123="",E123="",I123="",J123="",K123=""),"Missing core fields",IF(AND(E123="Selected",OR(F123="",G123="",H123="")),"Missing sample evidence","Recorded"))))</x:f>
      </x:c>
      <x:c r="M123" s="9" t="str">
        <x:f>IF(A123="","",IF(E123&lt;&gt;"Selected","Not selected",IF(OR(COUNTIFS('Work queue'!$B$6:$B$205,A123,'Work queue'!$F$6:$F$205,"Support A")=0,COUNTIFS('Work queue'!$B$6:$B$205,A123,'Work queue'!$F$6:$F$205,"Support C")=0),"Check missing A/C tasks","A/C tasks exist")))</x:f>
      </x:c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 ht="23" customHeight="1">
      <x:c r="A124" s="8"/>
      <x:c r="B124" s="6"/>
      <x:c r="C124" s="7"/>
      <x:c r="D124" s="6"/>
      <x:c r="E124" s="6"/>
      <x:c r="F124" s="7"/>
      <x:c r="G124" s="6"/>
      <x:c r="H124" s="6"/>
      <x:c r="I124" s="6"/>
      <x:c r="J124" s="6"/>
      <x:c r="K124" s="7"/>
      <x:c r="L124" s="9" t="str">
        <x:f>IF(A124="","",IF(COUNTIFS($A$6:$A$205,A124)&gt;1,"Duplicate client ID",IF(OR(B124="",C124="",E124="",I124="",J124="",K124=""),"Missing core fields",IF(AND(E124="Selected",OR(F124="",G124="",H124="")),"Missing sample evidence","Recorded"))))</x:f>
      </x:c>
      <x:c r="M124" s="9" t="str">
        <x:f>IF(A124="","",IF(E124&lt;&gt;"Selected","Not selected",IF(OR(COUNTIFS('Work queue'!$B$6:$B$205,A124,'Work queue'!$F$6:$F$205,"Support A")=0,COUNTIFS('Work queue'!$B$6:$B$205,A124,'Work queue'!$F$6:$F$205,"Support C")=0),"Check missing A/C tasks","A/C tasks exist")))</x:f>
      </x:c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 ht="23" customHeight="1">
      <x:c r="A125" s="8"/>
      <x:c r="B125" s="6"/>
      <x:c r="C125" s="7"/>
      <x:c r="D125" s="6"/>
      <x:c r="E125" s="6"/>
      <x:c r="F125" s="7"/>
      <x:c r="G125" s="6"/>
      <x:c r="H125" s="6"/>
      <x:c r="I125" s="6"/>
      <x:c r="J125" s="6"/>
      <x:c r="K125" s="7"/>
      <x:c r="L125" s="9" t="str">
        <x:f>IF(A125="","",IF(COUNTIFS($A$6:$A$205,A125)&gt;1,"Duplicate client ID",IF(OR(B125="",C125="",E125="",I125="",J125="",K125=""),"Missing core fields",IF(AND(E125="Selected",OR(F125="",G125="",H125="")),"Missing sample evidence","Recorded"))))</x:f>
      </x:c>
      <x:c r="M125" s="9" t="str">
        <x:f>IF(A125="","",IF(E125&lt;&gt;"Selected","Not selected",IF(OR(COUNTIFS('Work queue'!$B$6:$B$205,A125,'Work queue'!$F$6:$F$205,"Support A")=0,COUNTIFS('Work queue'!$B$6:$B$205,A125,'Work queue'!$F$6:$F$205,"Support C")=0),"Check missing A/C tasks","A/C tasks exist")))</x:f>
      </x:c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 ht="23" customHeight="1">
      <x:c r="A126" s="8"/>
      <x:c r="B126" s="6"/>
      <x:c r="C126" s="7"/>
      <x:c r="D126" s="6"/>
      <x:c r="E126" s="6"/>
      <x:c r="F126" s="7"/>
      <x:c r="G126" s="6"/>
      <x:c r="H126" s="6"/>
      <x:c r="I126" s="6"/>
      <x:c r="J126" s="6"/>
      <x:c r="K126" s="7"/>
      <x:c r="L126" s="9" t="str">
        <x:f>IF(A126="","",IF(COUNTIFS($A$6:$A$205,A126)&gt;1,"Duplicate client ID",IF(OR(B126="",C126="",E126="",I126="",J126="",K126=""),"Missing core fields",IF(AND(E126="Selected",OR(F126="",G126="",H126="")),"Missing sample evidence","Recorded"))))</x:f>
      </x:c>
      <x:c r="M126" s="9" t="str">
        <x:f>IF(A126="","",IF(E126&lt;&gt;"Selected","Not selected",IF(OR(COUNTIFS('Work queue'!$B$6:$B$205,A126,'Work queue'!$F$6:$F$205,"Support A")=0,COUNTIFS('Work queue'!$B$6:$B$205,A126,'Work queue'!$F$6:$F$205,"Support C")=0),"Check missing A/C tasks","A/C tasks exist")))</x:f>
      </x:c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 ht="23" customHeight="1">
      <x:c r="A127" s="8"/>
      <x:c r="B127" s="6"/>
      <x:c r="C127" s="7"/>
      <x:c r="D127" s="6"/>
      <x:c r="E127" s="6"/>
      <x:c r="F127" s="7"/>
      <x:c r="G127" s="6"/>
      <x:c r="H127" s="6"/>
      <x:c r="I127" s="6"/>
      <x:c r="J127" s="6"/>
      <x:c r="K127" s="7"/>
      <x:c r="L127" s="9" t="str">
        <x:f>IF(A127="","",IF(COUNTIFS($A$6:$A$205,A127)&gt;1,"Duplicate client ID",IF(OR(B127="",C127="",E127="",I127="",J127="",K127=""),"Missing core fields",IF(AND(E127="Selected",OR(F127="",G127="",H127="")),"Missing sample evidence","Recorded"))))</x:f>
      </x:c>
      <x:c r="M127" s="9" t="str">
        <x:f>IF(A127="","",IF(E127&lt;&gt;"Selected","Not selected",IF(OR(COUNTIFS('Work queue'!$B$6:$B$205,A127,'Work queue'!$F$6:$F$205,"Support A")=0,COUNTIFS('Work queue'!$B$6:$B$205,A127,'Work queue'!$F$6:$F$205,"Support C")=0),"Check missing A/C tasks","A/C tasks exist")))</x:f>
      </x:c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 ht="23" customHeight="1">
      <x:c r="A128" s="8"/>
      <x:c r="B128" s="6"/>
      <x:c r="C128" s="7"/>
      <x:c r="D128" s="6"/>
      <x:c r="E128" s="6"/>
      <x:c r="F128" s="7"/>
      <x:c r="G128" s="6"/>
      <x:c r="H128" s="6"/>
      <x:c r="I128" s="6"/>
      <x:c r="J128" s="6"/>
      <x:c r="K128" s="7"/>
      <x:c r="L128" s="9" t="str">
        <x:f>IF(A128="","",IF(COUNTIFS($A$6:$A$205,A128)&gt;1,"Duplicate client ID",IF(OR(B128="",C128="",E128="",I128="",J128="",K128=""),"Missing core fields",IF(AND(E128="Selected",OR(F128="",G128="",H128="")),"Missing sample evidence","Recorded"))))</x:f>
      </x:c>
      <x:c r="M128" s="9" t="str">
        <x:f>IF(A128="","",IF(E128&lt;&gt;"Selected","Not selected",IF(OR(COUNTIFS('Work queue'!$B$6:$B$205,A128,'Work queue'!$F$6:$F$205,"Support A")=0,COUNTIFS('Work queue'!$B$6:$B$205,A128,'Work queue'!$F$6:$F$205,"Support C")=0),"Check missing A/C tasks","A/C tasks exist")))</x:f>
      </x:c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 ht="23" customHeight="1">
      <x:c r="A129" s="8"/>
      <x:c r="B129" s="6"/>
      <x:c r="C129" s="7"/>
      <x:c r="D129" s="6"/>
      <x:c r="E129" s="6"/>
      <x:c r="F129" s="7"/>
      <x:c r="G129" s="6"/>
      <x:c r="H129" s="6"/>
      <x:c r="I129" s="6"/>
      <x:c r="J129" s="6"/>
      <x:c r="K129" s="7"/>
      <x:c r="L129" s="9" t="str">
        <x:f>IF(A129="","",IF(COUNTIFS($A$6:$A$205,A129)&gt;1,"Duplicate client ID",IF(OR(B129="",C129="",E129="",I129="",J129="",K129=""),"Missing core fields",IF(AND(E129="Selected",OR(F129="",G129="",H129="")),"Missing sample evidence","Recorded"))))</x:f>
      </x:c>
      <x:c r="M129" s="9" t="str">
        <x:f>IF(A129="","",IF(E129&lt;&gt;"Selected","Not selected",IF(OR(COUNTIFS('Work queue'!$B$6:$B$205,A129,'Work queue'!$F$6:$F$205,"Support A")=0,COUNTIFS('Work queue'!$B$6:$B$205,A129,'Work queue'!$F$6:$F$205,"Support C")=0),"Check missing A/C tasks","A/C tasks exist")))</x:f>
      </x:c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 ht="23" customHeight="1">
      <x:c r="A130" s="8"/>
      <x:c r="B130" s="6"/>
      <x:c r="C130" s="7"/>
      <x:c r="D130" s="6"/>
      <x:c r="E130" s="6"/>
      <x:c r="F130" s="7"/>
      <x:c r="G130" s="6"/>
      <x:c r="H130" s="6"/>
      <x:c r="I130" s="6"/>
      <x:c r="J130" s="6"/>
      <x:c r="K130" s="7"/>
      <x:c r="L130" s="9" t="str">
        <x:f>IF(A130="","",IF(COUNTIFS($A$6:$A$205,A130)&gt;1,"Duplicate client ID",IF(OR(B130="",C130="",E130="",I130="",J130="",K130=""),"Missing core fields",IF(AND(E130="Selected",OR(F130="",G130="",H130="")),"Missing sample evidence","Recorded"))))</x:f>
      </x:c>
      <x:c r="M130" s="9" t="str">
        <x:f>IF(A130="","",IF(E130&lt;&gt;"Selected","Not selected",IF(OR(COUNTIFS('Work queue'!$B$6:$B$205,A130,'Work queue'!$F$6:$F$205,"Support A")=0,COUNTIFS('Work queue'!$B$6:$B$205,A130,'Work queue'!$F$6:$F$205,"Support C")=0),"Check missing A/C tasks","A/C tasks exist")))</x:f>
      </x:c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 ht="23" customHeight="1">
      <x:c r="A131" s="8"/>
      <x:c r="B131" s="6"/>
      <x:c r="C131" s="7"/>
      <x:c r="D131" s="6"/>
      <x:c r="E131" s="6"/>
      <x:c r="F131" s="7"/>
      <x:c r="G131" s="6"/>
      <x:c r="H131" s="6"/>
      <x:c r="I131" s="6"/>
      <x:c r="J131" s="6"/>
      <x:c r="K131" s="7"/>
      <x:c r="L131" s="9" t="str">
        <x:f>IF(A131="","",IF(COUNTIFS($A$6:$A$205,A131)&gt;1,"Duplicate client ID",IF(OR(B131="",C131="",E131="",I131="",J131="",K131=""),"Missing core fields",IF(AND(E131="Selected",OR(F131="",G131="",H131="")),"Missing sample evidence","Recorded"))))</x:f>
      </x:c>
      <x:c r="M131" s="9" t="str">
        <x:f>IF(A131="","",IF(E131&lt;&gt;"Selected","Not selected",IF(OR(COUNTIFS('Work queue'!$B$6:$B$205,A131,'Work queue'!$F$6:$F$205,"Support A")=0,COUNTIFS('Work queue'!$B$6:$B$205,A131,'Work queue'!$F$6:$F$205,"Support C")=0),"Check missing A/C tasks","A/C tasks exist")))</x:f>
      </x:c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 ht="23" customHeight="1">
      <x:c r="A132" s="8"/>
      <x:c r="B132" s="6"/>
      <x:c r="C132" s="7"/>
      <x:c r="D132" s="6"/>
      <x:c r="E132" s="6"/>
      <x:c r="F132" s="7"/>
      <x:c r="G132" s="6"/>
      <x:c r="H132" s="6"/>
      <x:c r="I132" s="6"/>
      <x:c r="J132" s="6"/>
      <x:c r="K132" s="7"/>
      <x:c r="L132" s="9" t="str">
        <x:f>IF(A132="","",IF(COUNTIFS($A$6:$A$205,A132)&gt;1,"Duplicate client ID",IF(OR(B132="",C132="",E132="",I132="",J132="",K132=""),"Missing core fields",IF(AND(E132="Selected",OR(F132="",G132="",H132="")),"Missing sample evidence","Recorded"))))</x:f>
      </x:c>
      <x:c r="M132" s="9" t="str">
        <x:f>IF(A132="","",IF(E132&lt;&gt;"Selected","Not selected",IF(OR(COUNTIFS('Work queue'!$B$6:$B$205,A132,'Work queue'!$F$6:$F$205,"Support A")=0,COUNTIFS('Work queue'!$B$6:$B$205,A132,'Work queue'!$F$6:$F$205,"Support C")=0),"Check missing A/C tasks","A/C tasks exist")))</x:f>
      </x:c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 ht="23" customHeight="1">
      <x:c r="A133" s="8"/>
      <x:c r="B133" s="6"/>
      <x:c r="C133" s="7"/>
      <x:c r="D133" s="6"/>
      <x:c r="E133" s="6"/>
      <x:c r="F133" s="7"/>
      <x:c r="G133" s="6"/>
      <x:c r="H133" s="6"/>
      <x:c r="I133" s="6"/>
      <x:c r="J133" s="6"/>
      <x:c r="K133" s="7"/>
      <x:c r="L133" s="9" t="str">
        <x:f>IF(A133="","",IF(COUNTIFS($A$6:$A$205,A133)&gt;1,"Duplicate client ID",IF(OR(B133="",C133="",E133="",I133="",J133="",K133=""),"Missing core fields",IF(AND(E133="Selected",OR(F133="",G133="",H133="")),"Missing sample evidence","Recorded"))))</x:f>
      </x:c>
      <x:c r="M133" s="9" t="str">
        <x:f>IF(A133="","",IF(E133&lt;&gt;"Selected","Not selected",IF(OR(COUNTIFS('Work queue'!$B$6:$B$205,A133,'Work queue'!$F$6:$F$205,"Support A")=0,COUNTIFS('Work queue'!$B$6:$B$205,A133,'Work queue'!$F$6:$F$205,"Support C")=0),"Check missing A/C tasks","A/C tasks exist")))</x:f>
      </x:c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 ht="23" customHeight="1">
      <x:c r="A134" s="8"/>
      <x:c r="B134" s="6"/>
      <x:c r="C134" s="7"/>
      <x:c r="D134" s="6"/>
      <x:c r="E134" s="6"/>
      <x:c r="F134" s="7"/>
      <x:c r="G134" s="6"/>
      <x:c r="H134" s="6"/>
      <x:c r="I134" s="6"/>
      <x:c r="J134" s="6"/>
      <x:c r="K134" s="7"/>
      <x:c r="L134" s="9" t="str">
        <x:f>IF(A134="","",IF(COUNTIFS($A$6:$A$205,A134)&gt;1,"Duplicate client ID",IF(OR(B134="",C134="",E134="",I134="",J134="",K134=""),"Missing core fields",IF(AND(E134="Selected",OR(F134="",G134="",H134="")),"Missing sample evidence","Recorded"))))</x:f>
      </x:c>
      <x:c r="M134" s="9" t="str">
        <x:f>IF(A134="","",IF(E134&lt;&gt;"Selected","Not selected",IF(OR(COUNTIFS('Work queue'!$B$6:$B$205,A134,'Work queue'!$F$6:$F$205,"Support A")=0,COUNTIFS('Work queue'!$B$6:$B$205,A134,'Work queue'!$F$6:$F$205,"Support C")=0),"Check missing A/C tasks","A/C tasks exist")))</x:f>
      </x:c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 ht="23" customHeight="1">
      <x:c r="A135" s="8"/>
      <x:c r="B135" s="6"/>
      <x:c r="C135" s="7"/>
      <x:c r="D135" s="6"/>
      <x:c r="E135" s="6"/>
      <x:c r="F135" s="7"/>
      <x:c r="G135" s="6"/>
      <x:c r="H135" s="6"/>
      <x:c r="I135" s="6"/>
      <x:c r="J135" s="6"/>
      <x:c r="K135" s="7"/>
      <x:c r="L135" s="9" t="str">
        <x:f>IF(A135="","",IF(COUNTIFS($A$6:$A$205,A135)&gt;1,"Duplicate client ID",IF(OR(B135="",C135="",E135="",I135="",J135="",K135=""),"Missing core fields",IF(AND(E135="Selected",OR(F135="",G135="",H135="")),"Missing sample evidence","Recorded"))))</x:f>
      </x:c>
      <x:c r="M135" s="9" t="str">
        <x:f>IF(A135="","",IF(E135&lt;&gt;"Selected","Not selected",IF(OR(COUNTIFS('Work queue'!$B$6:$B$205,A135,'Work queue'!$F$6:$F$205,"Support A")=0,COUNTIFS('Work queue'!$B$6:$B$205,A135,'Work queue'!$F$6:$F$205,"Support C")=0),"Check missing A/C tasks","A/C tasks exist")))</x:f>
      </x:c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 ht="23" customHeight="1">
      <x:c r="A136" s="8"/>
      <x:c r="B136" s="6"/>
      <x:c r="C136" s="7"/>
      <x:c r="D136" s="6"/>
      <x:c r="E136" s="6"/>
      <x:c r="F136" s="7"/>
      <x:c r="G136" s="6"/>
      <x:c r="H136" s="6"/>
      <x:c r="I136" s="6"/>
      <x:c r="J136" s="6"/>
      <x:c r="K136" s="7"/>
      <x:c r="L136" s="9" t="str">
        <x:f>IF(A136="","",IF(COUNTIFS($A$6:$A$205,A136)&gt;1,"Duplicate client ID",IF(OR(B136="",C136="",E136="",I136="",J136="",K136=""),"Missing core fields",IF(AND(E136="Selected",OR(F136="",G136="",H136="")),"Missing sample evidence","Recorded"))))</x:f>
      </x:c>
      <x:c r="M136" s="9" t="str">
        <x:f>IF(A136="","",IF(E136&lt;&gt;"Selected","Not selected",IF(OR(COUNTIFS('Work queue'!$B$6:$B$205,A136,'Work queue'!$F$6:$F$205,"Support A")=0,COUNTIFS('Work queue'!$B$6:$B$205,A136,'Work queue'!$F$6:$F$205,"Support C")=0),"Check missing A/C tasks","A/C tasks exist")))</x:f>
      </x:c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 ht="23" customHeight="1">
      <x:c r="A137" s="8"/>
      <x:c r="B137" s="6"/>
      <x:c r="C137" s="7"/>
      <x:c r="D137" s="6"/>
      <x:c r="E137" s="6"/>
      <x:c r="F137" s="7"/>
      <x:c r="G137" s="6"/>
      <x:c r="H137" s="6"/>
      <x:c r="I137" s="6"/>
      <x:c r="J137" s="6"/>
      <x:c r="K137" s="7"/>
      <x:c r="L137" s="9" t="str">
        <x:f>IF(A137="","",IF(COUNTIFS($A$6:$A$205,A137)&gt;1,"Duplicate client ID",IF(OR(B137="",C137="",E137="",I137="",J137="",K137=""),"Missing core fields",IF(AND(E137="Selected",OR(F137="",G137="",H137="")),"Missing sample evidence","Recorded"))))</x:f>
      </x:c>
      <x:c r="M137" s="9" t="str">
        <x:f>IF(A137="","",IF(E137&lt;&gt;"Selected","Not selected",IF(OR(COUNTIFS('Work queue'!$B$6:$B$205,A137,'Work queue'!$F$6:$F$205,"Support A")=0,COUNTIFS('Work queue'!$B$6:$B$205,A137,'Work queue'!$F$6:$F$205,"Support C")=0),"Check missing A/C tasks","A/C tasks exist")))</x:f>
      </x:c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 ht="23" customHeight="1">
      <x:c r="A138" s="8"/>
      <x:c r="B138" s="6"/>
      <x:c r="C138" s="7"/>
      <x:c r="D138" s="6"/>
      <x:c r="E138" s="6"/>
      <x:c r="F138" s="7"/>
      <x:c r="G138" s="6"/>
      <x:c r="H138" s="6"/>
      <x:c r="I138" s="6"/>
      <x:c r="J138" s="6"/>
      <x:c r="K138" s="7"/>
      <x:c r="L138" s="9" t="str">
        <x:f>IF(A138="","",IF(COUNTIFS($A$6:$A$205,A138)&gt;1,"Duplicate client ID",IF(OR(B138="",C138="",E138="",I138="",J138="",K138=""),"Missing core fields",IF(AND(E138="Selected",OR(F138="",G138="",H138="")),"Missing sample evidence","Recorded"))))</x:f>
      </x:c>
      <x:c r="M138" s="9" t="str">
        <x:f>IF(A138="","",IF(E138&lt;&gt;"Selected","Not selected",IF(OR(COUNTIFS('Work queue'!$B$6:$B$205,A138,'Work queue'!$F$6:$F$205,"Support A")=0,COUNTIFS('Work queue'!$B$6:$B$205,A138,'Work queue'!$F$6:$F$205,"Support C")=0),"Check missing A/C tasks","A/C tasks exist")))</x:f>
      </x:c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 ht="23" customHeight="1">
      <x:c r="A139" s="8"/>
      <x:c r="B139" s="6"/>
      <x:c r="C139" s="7"/>
      <x:c r="D139" s="6"/>
      <x:c r="E139" s="6"/>
      <x:c r="F139" s="7"/>
      <x:c r="G139" s="6"/>
      <x:c r="H139" s="6"/>
      <x:c r="I139" s="6"/>
      <x:c r="J139" s="6"/>
      <x:c r="K139" s="7"/>
      <x:c r="L139" s="9" t="str">
        <x:f>IF(A139="","",IF(COUNTIFS($A$6:$A$205,A139)&gt;1,"Duplicate client ID",IF(OR(B139="",C139="",E139="",I139="",J139="",K139=""),"Missing core fields",IF(AND(E139="Selected",OR(F139="",G139="",H139="")),"Missing sample evidence","Recorded"))))</x:f>
      </x:c>
      <x:c r="M139" s="9" t="str">
        <x:f>IF(A139="","",IF(E139&lt;&gt;"Selected","Not selected",IF(OR(COUNTIFS('Work queue'!$B$6:$B$205,A139,'Work queue'!$F$6:$F$205,"Support A")=0,COUNTIFS('Work queue'!$B$6:$B$205,A139,'Work queue'!$F$6:$F$205,"Support C")=0),"Check missing A/C tasks","A/C tasks exist")))</x:f>
      </x:c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 ht="23" customHeight="1">
      <x:c r="A140" s="8"/>
      <x:c r="B140" s="6"/>
      <x:c r="C140" s="7"/>
      <x:c r="D140" s="6"/>
      <x:c r="E140" s="6"/>
      <x:c r="F140" s="7"/>
      <x:c r="G140" s="6"/>
      <x:c r="H140" s="6"/>
      <x:c r="I140" s="6"/>
      <x:c r="J140" s="6"/>
      <x:c r="K140" s="7"/>
      <x:c r="L140" s="9" t="str">
        <x:f>IF(A140="","",IF(COUNTIFS($A$6:$A$205,A140)&gt;1,"Duplicate client ID",IF(OR(B140="",C140="",E140="",I140="",J140="",K140=""),"Missing core fields",IF(AND(E140="Selected",OR(F140="",G140="",H140="")),"Missing sample evidence","Recorded"))))</x:f>
      </x:c>
      <x:c r="M140" s="9" t="str">
        <x:f>IF(A140="","",IF(E140&lt;&gt;"Selected","Not selected",IF(OR(COUNTIFS('Work queue'!$B$6:$B$205,A140,'Work queue'!$F$6:$F$205,"Support A")=0,COUNTIFS('Work queue'!$B$6:$B$205,A140,'Work queue'!$F$6:$F$205,"Support C")=0),"Check missing A/C tasks","A/C tasks exist")))</x:f>
      </x:c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 ht="23" customHeight="1">
      <x:c r="A141" s="8"/>
      <x:c r="B141" s="6"/>
      <x:c r="C141" s="7"/>
      <x:c r="D141" s="6"/>
      <x:c r="E141" s="6"/>
      <x:c r="F141" s="7"/>
      <x:c r="G141" s="6"/>
      <x:c r="H141" s="6"/>
      <x:c r="I141" s="6"/>
      <x:c r="J141" s="6"/>
      <x:c r="K141" s="7"/>
      <x:c r="L141" s="9" t="str">
        <x:f>IF(A141="","",IF(COUNTIFS($A$6:$A$205,A141)&gt;1,"Duplicate client ID",IF(OR(B141="",C141="",E141="",I141="",J141="",K141=""),"Missing core fields",IF(AND(E141="Selected",OR(F141="",G141="",H141="")),"Missing sample evidence","Recorded"))))</x:f>
      </x:c>
      <x:c r="M141" s="9" t="str">
        <x:f>IF(A141="","",IF(E141&lt;&gt;"Selected","Not selected",IF(OR(COUNTIFS('Work queue'!$B$6:$B$205,A141,'Work queue'!$F$6:$F$205,"Support A")=0,COUNTIFS('Work queue'!$B$6:$B$205,A141,'Work queue'!$F$6:$F$205,"Support C")=0),"Check missing A/C tasks","A/C tasks exist")))</x:f>
      </x:c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 ht="23" customHeight="1">
      <x:c r="A142" s="8"/>
      <x:c r="B142" s="6"/>
      <x:c r="C142" s="7"/>
      <x:c r="D142" s="6"/>
      <x:c r="E142" s="6"/>
      <x:c r="F142" s="7"/>
      <x:c r="G142" s="6"/>
      <x:c r="H142" s="6"/>
      <x:c r="I142" s="6"/>
      <x:c r="J142" s="6"/>
      <x:c r="K142" s="7"/>
      <x:c r="L142" s="9" t="str">
        <x:f>IF(A142="","",IF(COUNTIFS($A$6:$A$205,A142)&gt;1,"Duplicate client ID",IF(OR(B142="",C142="",E142="",I142="",J142="",K142=""),"Missing core fields",IF(AND(E142="Selected",OR(F142="",G142="",H142="")),"Missing sample evidence","Recorded"))))</x:f>
      </x:c>
      <x:c r="M142" s="9" t="str">
        <x:f>IF(A142="","",IF(E142&lt;&gt;"Selected","Not selected",IF(OR(COUNTIFS('Work queue'!$B$6:$B$205,A142,'Work queue'!$F$6:$F$205,"Support A")=0,COUNTIFS('Work queue'!$B$6:$B$205,A142,'Work queue'!$F$6:$F$205,"Support C")=0),"Check missing A/C tasks","A/C tasks exist")))</x:f>
      </x:c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 ht="23" customHeight="1">
      <x:c r="A143" s="8"/>
      <x:c r="B143" s="6"/>
      <x:c r="C143" s="7"/>
      <x:c r="D143" s="6"/>
      <x:c r="E143" s="6"/>
      <x:c r="F143" s="7"/>
      <x:c r="G143" s="6"/>
      <x:c r="H143" s="6"/>
      <x:c r="I143" s="6"/>
      <x:c r="J143" s="6"/>
      <x:c r="K143" s="7"/>
      <x:c r="L143" s="9" t="str">
        <x:f>IF(A143="","",IF(COUNTIFS($A$6:$A$205,A143)&gt;1,"Duplicate client ID",IF(OR(B143="",C143="",E143="",I143="",J143="",K143=""),"Missing core fields",IF(AND(E143="Selected",OR(F143="",G143="",H143="")),"Missing sample evidence","Recorded"))))</x:f>
      </x:c>
      <x:c r="M143" s="9" t="str">
        <x:f>IF(A143="","",IF(E143&lt;&gt;"Selected","Not selected",IF(OR(COUNTIFS('Work queue'!$B$6:$B$205,A143,'Work queue'!$F$6:$F$205,"Support A")=0,COUNTIFS('Work queue'!$B$6:$B$205,A143,'Work queue'!$F$6:$F$205,"Support C")=0),"Check missing A/C tasks","A/C tasks exist")))</x:f>
      </x:c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 ht="23" customHeight="1">
      <x:c r="A144" s="8"/>
      <x:c r="B144" s="6"/>
      <x:c r="C144" s="7"/>
      <x:c r="D144" s="6"/>
      <x:c r="E144" s="6"/>
      <x:c r="F144" s="7"/>
      <x:c r="G144" s="6"/>
      <x:c r="H144" s="6"/>
      <x:c r="I144" s="6"/>
      <x:c r="J144" s="6"/>
      <x:c r="K144" s="7"/>
      <x:c r="L144" s="9" t="str">
        <x:f>IF(A144="","",IF(COUNTIFS($A$6:$A$205,A144)&gt;1,"Duplicate client ID",IF(OR(B144="",C144="",E144="",I144="",J144="",K144=""),"Missing core fields",IF(AND(E144="Selected",OR(F144="",G144="",H144="")),"Missing sample evidence","Recorded"))))</x:f>
      </x:c>
      <x:c r="M144" s="9" t="str">
        <x:f>IF(A144="","",IF(E144&lt;&gt;"Selected","Not selected",IF(OR(COUNTIFS('Work queue'!$B$6:$B$205,A144,'Work queue'!$F$6:$F$205,"Support A")=0,COUNTIFS('Work queue'!$B$6:$B$205,A144,'Work queue'!$F$6:$F$205,"Support C")=0),"Check missing A/C tasks","A/C tasks exist")))</x:f>
      </x:c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 ht="23" customHeight="1">
      <x:c r="A145" s="8"/>
      <x:c r="B145" s="6"/>
      <x:c r="C145" s="7"/>
      <x:c r="D145" s="6"/>
      <x:c r="E145" s="6"/>
      <x:c r="F145" s="7"/>
      <x:c r="G145" s="6"/>
      <x:c r="H145" s="6"/>
      <x:c r="I145" s="6"/>
      <x:c r="J145" s="6"/>
      <x:c r="K145" s="7"/>
      <x:c r="L145" s="9" t="str">
        <x:f>IF(A145="","",IF(COUNTIFS($A$6:$A$205,A145)&gt;1,"Duplicate client ID",IF(OR(B145="",C145="",E145="",I145="",J145="",K145=""),"Missing core fields",IF(AND(E145="Selected",OR(F145="",G145="",H145="")),"Missing sample evidence","Recorded"))))</x:f>
      </x:c>
      <x:c r="M145" s="9" t="str">
        <x:f>IF(A145="","",IF(E145&lt;&gt;"Selected","Not selected",IF(OR(COUNTIFS('Work queue'!$B$6:$B$205,A145,'Work queue'!$F$6:$F$205,"Support A")=0,COUNTIFS('Work queue'!$B$6:$B$205,A145,'Work queue'!$F$6:$F$205,"Support C")=0),"Check missing A/C tasks","A/C tasks exist")))</x:f>
      </x:c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 ht="23" customHeight="1">
      <x:c r="A146" s="8"/>
      <x:c r="B146" s="6"/>
      <x:c r="C146" s="7"/>
      <x:c r="D146" s="6"/>
      <x:c r="E146" s="6"/>
      <x:c r="F146" s="7"/>
      <x:c r="G146" s="6"/>
      <x:c r="H146" s="6"/>
      <x:c r="I146" s="6"/>
      <x:c r="J146" s="6"/>
      <x:c r="K146" s="7"/>
      <x:c r="L146" s="9" t="str">
        <x:f>IF(A146="","",IF(COUNTIFS($A$6:$A$205,A146)&gt;1,"Duplicate client ID",IF(OR(B146="",C146="",E146="",I146="",J146="",K146=""),"Missing core fields",IF(AND(E146="Selected",OR(F146="",G146="",H146="")),"Missing sample evidence","Recorded"))))</x:f>
      </x:c>
      <x:c r="M146" s="9" t="str">
        <x:f>IF(A146="","",IF(E146&lt;&gt;"Selected","Not selected",IF(OR(COUNTIFS('Work queue'!$B$6:$B$205,A146,'Work queue'!$F$6:$F$205,"Support A")=0,COUNTIFS('Work queue'!$B$6:$B$205,A146,'Work queue'!$F$6:$F$205,"Support C")=0),"Check missing A/C tasks","A/C tasks exist")))</x:f>
      </x:c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 ht="23" customHeight="1">
      <x:c r="A147" s="8"/>
      <x:c r="B147" s="6"/>
      <x:c r="C147" s="7"/>
      <x:c r="D147" s="6"/>
      <x:c r="E147" s="6"/>
      <x:c r="F147" s="7"/>
      <x:c r="G147" s="6"/>
      <x:c r="H147" s="6"/>
      <x:c r="I147" s="6"/>
      <x:c r="J147" s="6"/>
      <x:c r="K147" s="7"/>
      <x:c r="L147" s="9" t="str">
        <x:f>IF(A147="","",IF(COUNTIFS($A$6:$A$205,A147)&gt;1,"Duplicate client ID",IF(OR(B147="",C147="",E147="",I147="",J147="",K147=""),"Missing core fields",IF(AND(E147="Selected",OR(F147="",G147="",H147="")),"Missing sample evidence","Recorded"))))</x:f>
      </x:c>
      <x:c r="M147" s="9" t="str">
        <x:f>IF(A147="","",IF(E147&lt;&gt;"Selected","Not selected",IF(OR(COUNTIFS('Work queue'!$B$6:$B$205,A147,'Work queue'!$F$6:$F$205,"Support A")=0,COUNTIFS('Work queue'!$B$6:$B$205,A147,'Work queue'!$F$6:$F$205,"Support C")=0),"Check missing A/C tasks","A/C tasks exist")))</x:f>
      </x:c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 ht="23" customHeight="1">
      <x:c r="A148" s="8"/>
      <x:c r="B148" s="6"/>
      <x:c r="C148" s="7"/>
      <x:c r="D148" s="6"/>
      <x:c r="E148" s="6"/>
      <x:c r="F148" s="7"/>
      <x:c r="G148" s="6"/>
      <x:c r="H148" s="6"/>
      <x:c r="I148" s="6"/>
      <x:c r="J148" s="6"/>
      <x:c r="K148" s="7"/>
      <x:c r="L148" s="9" t="str">
        <x:f>IF(A148="","",IF(COUNTIFS($A$6:$A$205,A148)&gt;1,"Duplicate client ID",IF(OR(B148="",C148="",E148="",I148="",J148="",K148=""),"Missing core fields",IF(AND(E148="Selected",OR(F148="",G148="",H148="")),"Missing sample evidence","Recorded"))))</x:f>
      </x:c>
      <x:c r="M148" s="9" t="str">
        <x:f>IF(A148="","",IF(E148&lt;&gt;"Selected","Not selected",IF(OR(COUNTIFS('Work queue'!$B$6:$B$205,A148,'Work queue'!$F$6:$F$205,"Support A")=0,COUNTIFS('Work queue'!$B$6:$B$205,A148,'Work queue'!$F$6:$F$205,"Support C")=0),"Check missing A/C tasks","A/C tasks exist")))</x:f>
      </x:c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 ht="23" customHeight="1">
      <x:c r="A149" s="8"/>
      <x:c r="B149" s="6"/>
      <x:c r="C149" s="7"/>
      <x:c r="D149" s="6"/>
      <x:c r="E149" s="6"/>
      <x:c r="F149" s="7"/>
      <x:c r="G149" s="6"/>
      <x:c r="H149" s="6"/>
      <x:c r="I149" s="6"/>
      <x:c r="J149" s="6"/>
      <x:c r="K149" s="7"/>
      <x:c r="L149" s="9" t="str">
        <x:f>IF(A149="","",IF(COUNTIFS($A$6:$A$205,A149)&gt;1,"Duplicate client ID",IF(OR(B149="",C149="",E149="",I149="",J149="",K149=""),"Missing core fields",IF(AND(E149="Selected",OR(F149="",G149="",H149="")),"Missing sample evidence","Recorded"))))</x:f>
      </x:c>
      <x:c r="M149" s="9" t="str">
        <x:f>IF(A149="","",IF(E149&lt;&gt;"Selected","Not selected",IF(OR(COUNTIFS('Work queue'!$B$6:$B$205,A149,'Work queue'!$F$6:$F$205,"Support A")=0,COUNTIFS('Work queue'!$B$6:$B$205,A149,'Work queue'!$F$6:$F$205,"Support C")=0),"Check missing A/C tasks","A/C tasks exist")))</x:f>
      </x:c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 ht="23" customHeight="1">
      <x:c r="A150" s="8"/>
      <x:c r="B150" s="6"/>
      <x:c r="C150" s="7"/>
      <x:c r="D150" s="6"/>
      <x:c r="E150" s="6"/>
      <x:c r="F150" s="7"/>
      <x:c r="G150" s="6"/>
      <x:c r="H150" s="6"/>
      <x:c r="I150" s="6"/>
      <x:c r="J150" s="6"/>
      <x:c r="K150" s="7"/>
      <x:c r="L150" s="9" t="str">
        <x:f>IF(A150="","",IF(COUNTIFS($A$6:$A$205,A150)&gt;1,"Duplicate client ID",IF(OR(B150="",C150="",E150="",I150="",J150="",K150=""),"Missing core fields",IF(AND(E150="Selected",OR(F150="",G150="",H150="")),"Missing sample evidence","Recorded"))))</x:f>
      </x:c>
      <x:c r="M150" s="9" t="str">
        <x:f>IF(A150="","",IF(E150&lt;&gt;"Selected","Not selected",IF(OR(COUNTIFS('Work queue'!$B$6:$B$205,A150,'Work queue'!$F$6:$F$205,"Support A")=0,COUNTIFS('Work queue'!$B$6:$B$205,A150,'Work queue'!$F$6:$F$205,"Support C")=0),"Check missing A/C tasks","A/C tasks exist")))</x:f>
      </x:c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 ht="23" customHeight="1">
      <x:c r="A151" s="8"/>
      <x:c r="B151" s="6"/>
      <x:c r="C151" s="7"/>
      <x:c r="D151" s="6"/>
      <x:c r="E151" s="6"/>
      <x:c r="F151" s="7"/>
      <x:c r="G151" s="6"/>
      <x:c r="H151" s="6"/>
      <x:c r="I151" s="6"/>
      <x:c r="J151" s="6"/>
      <x:c r="K151" s="7"/>
      <x:c r="L151" s="9" t="str">
        <x:f>IF(A151="","",IF(COUNTIFS($A$6:$A$205,A151)&gt;1,"Duplicate client ID",IF(OR(B151="",C151="",E151="",I151="",J151="",K151=""),"Missing core fields",IF(AND(E151="Selected",OR(F151="",G151="",H151="")),"Missing sample evidence","Recorded"))))</x:f>
      </x:c>
      <x:c r="M151" s="9" t="str">
        <x:f>IF(A151="","",IF(E151&lt;&gt;"Selected","Not selected",IF(OR(COUNTIFS('Work queue'!$B$6:$B$205,A151,'Work queue'!$F$6:$F$205,"Support A")=0,COUNTIFS('Work queue'!$B$6:$B$205,A151,'Work queue'!$F$6:$F$205,"Support C")=0),"Check missing A/C tasks","A/C tasks exist")))</x:f>
      </x:c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 ht="23" customHeight="1">
      <x:c r="A152" s="8"/>
      <x:c r="B152" s="6"/>
      <x:c r="C152" s="7"/>
      <x:c r="D152" s="6"/>
      <x:c r="E152" s="6"/>
      <x:c r="F152" s="7"/>
      <x:c r="G152" s="6"/>
      <x:c r="H152" s="6"/>
      <x:c r="I152" s="6"/>
      <x:c r="J152" s="6"/>
      <x:c r="K152" s="7"/>
      <x:c r="L152" s="9" t="str">
        <x:f>IF(A152="","",IF(COUNTIFS($A$6:$A$205,A152)&gt;1,"Duplicate client ID",IF(OR(B152="",C152="",E152="",I152="",J152="",K152=""),"Missing core fields",IF(AND(E152="Selected",OR(F152="",G152="",H152="")),"Missing sample evidence","Recorded"))))</x:f>
      </x:c>
      <x:c r="M152" s="9" t="str">
        <x:f>IF(A152="","",IF(E152&lt;&gt;"Selected","Not selected",IF(OR(COUNTIFS('Work queue'!$B$6:$B$205,A152,'Work queue'!$F$6:$F$205,"Support A")=0,COUNTIFS('Work queue'!$B$6:$B$205,A152,'Work queue'!$F$6:$F$205,"Support C")=0),"Check missing A/C tasks","A/C tasks exist")))</x:f>
      </x:c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 ht="23" customHeight="1">
      <x:c r="A153" s="8"/>
      <x:c r="B153" s="6"/>
      <x:c r="C153" s="7"/>
      <x:c r="D153" s="6"/>
      <x:c r="E153" s="6"/>
      <x:c r="F153" s="7"/>
      <x:c r="G153" s="6"/>
      <x:c r="H153" s="6"/>
      <x:c r="I153" s="6"/>
      <x:c r="J153" s="6"/>
      <x:c r="K153" s="7"/>
      <x:c r="L153" s="9" t="str">
        <x:f>IF(A153="","",IF(COUNTIFS($A$6:$A$205,A153)&gt;1,"Duplicate client ID",IF(OR(B153="",C153="",E153="",I153="",J153="",K153=""),"Missing core fields",IF(AND(E153="Selected",OR(F153="",G153="",H153="")),"Missing sample evidence","Recorded"))))</x:f>
      </x:c>
      <x:c r="M153" s="9" t="str">
        <x:f>IF(A153="","",IF(E153&lt;&gt;"Selected","Not selected",IF(OR(COUNTIFS('Work queue'!$B$6:$B$205,A153,'Work queue'!$F$6:$F$205,"Support A")=0,COUNTIFS('Work queue'!$B$6:$B$205,A153,'Work queue'!$F$6:$F$205,"Support C")=0),"Check missing A/C tasks","A/C tasks exist")))</x:f>
      </x:c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 ht="23" customHeight="1">
      <x:c r="A154" s="8"/>
      <x:c r="B154" s="6"/>
      <x:c r="C154" s="7"/>
      <x:c r="D154" s="6"/>
      <x:c r="E154" s="6"/>
      <x:c r="F154" s="7"/>
      <x:c r="G154" s="6"/>
      <x:c r="H154" s="6"/>
      <x:c r="I154" s="6"/>
      <x:c r="J154" s="6"/>
      <x:c r="K154" s="7"/>
      <x:c r="L154" s="9" t="str">
        <x:f>IF(A154="","",IF(COUNTIFS($A$6:$A$205,A154)&gt;1,"Duplicate client ID",IF(OR(B154="",C154="",E154="",I154="",J154="",K154=""),"Missing core fields",IF(AND(E154="Selected",OR(F154="",G154="",H154="")),"Missing sample evidence","Recorded"))))</x:f>
      </x:c>
      <x:c r="M154" s="9" t="str">
        <x:f>IF(A154="","",IF(E154&lt;&gt;"Selected","Not selected",IF(OR(COUNTIFS('Work queue'!$B$6:$B$205,A154,'Work queue'!$F$6:$F$205,"Support A")=0,COUNTIFS('Work queue'!$B$6:$B$205,A154,'Work queue'!$F$6:$F$205,"Support C")=0),"Check missing A/C tasks","A/C tasks exist")))</x:f>
      </x:c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 ht="23" customHeight="1">
      <x:c r="A155" s="8"/>
      <x:c r="B155" s="6"/>
      <x:c r="C155" s="7"/>
      <x:c r="D155" s="6"/>
      <x:c r="E155" s="6"/>
      <x:c r="F155" s="7"/>
      <x:c r="G155" s="6"/>
      <x:c r="H155" s="6"/>
      <x:c r="I155" s="6"/>
      <x:c r="J155" s="6"/>
      <x:c r="K155" s="7"/>
      <x:c r="L155" s="9" t="str">
        <x:f>IF(A155="","",IF(COUNTIFS($A$6:$A$205,A155)&gt;1,"Duplicate client ID",IF(OR(B155="",C155="",E155="",I155="",J155="",K155=""),"Missing core fields",IF(AND(E155="Selected",OR(F155="",G155="",H155="")),"Missing sample evidence","Recorded"))))</x:f>
      </x:c>
      <x:c r="M155" s="9" t="str">
        <x:f>IF(A155="","",IF(E155&lt;&gt;"Selected","Not selected",IF(OR(COUNTIFS('Work queue'!$B$6:$B$205,A155,'Work queue'!$F$6:$F$205,"Support A")=0,COUNTIFS('Work queue'!$B$6:$B$205,A155,'Work queue'!$F$6:$F$205,"Support C")=0),"Check missing A/C tasks","A/C tasks exist")))</x:f>
      </x:c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 ht="23" customHeight="1">
      <x:c r="A156" s="8"/>
      <x:c r="B156" s="6"/>
      <x:c r="C156" s="7"/>
      <x:c r="D156" s="6"/>
      <x:c r="E156" s="6"/>
      <x:c r="F156" s="7"/>
      <x:c r="G156" s="6"/>
      <x:c r="H156" s="6"/>
      <x:c r="I156" s="6"/>
      <x:c r="J156" s="6"/>
      <x:c r="K156" s="7"/>
      <x:c r="L156" s="9" t="str">
        <x:f>IF(A156="","",IF(COUNTIFS($A$6:$A$205,A156)&gt;1,"Duplicate client ID",IF(OR(B156="",C156="",E156="",I156="",J156="",K156=""),"Missing core fields",IF(AND(E156="Selected",OR(F156="",G156="",H156="")),"Missing sample evidence","Recorded"))))</x:f>
      </x:c>
      <x:c r="M156" s="9" t="str">
        <x:f>IF(A156="","",IF(E156&lt;&gt;"Selected","Not selected",IF(OR(COUNTIFS('Work queue'!$B$6:$B$205,A156,'Work queue'!$F$6:$F$205,"Support A")=0,COUNTIFS('Work queue'!$B$6:$B$205,A156,'Work queue'!$F$6:$F$205,"Support C")=0),"Check missing A/C tasks","A/C tasks exist")))</x:f>
      </x:c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 ht="23" customHeight="1">
      <x:c r="A157" s="8"/>
      <x:c r="B157" s="6"/>
      <x:c r="C157" s="7"/>
      <x:c r="D157" s="6"/>
      <x:c r="E157" s="6"/>
      <x:c r="F157" s="7"/>
      <x:c r="G157" s="6"/>
      <x:c r="H157" s="6"/>
      <x:c r="I157" s="6"/>
      <x:c r="J157" s="6"/>
      <x:c r="K157" s="7"/>
      <x:c r="L157" s="9" t="str">
        <x:f>IF(A157="","",IF(COUNTIFS($A$6:$A$205,A157)&gt;1,"Duplicate client ID",IF(OR(B157="",C157="",E157="",I157="",J157="",K157=""),"Missing core fields",IF(AND(E157="Selected",OR(F157="",G157="",H157="")),"Missing sample evidence","Recorded"))))</x:f>
      </x:c>
      <x:c r="M157" s="9" t="str">
        <x:f>IF(A157="","",IF(E157&lt;&gt;"Selected","Not selected",IF(OR(COUNTIFS('Work queue'!$B$6:$B$205,A157,'Work queue'!$F$6:$F$205,"Support A")=0,COUNTIFS('Work queue'!$B$6:$B$205,A157,'Work queue'!$F$6:$F$205,"Support C")=0),"Check missing A/C tasks","A/C tasks exist")))</x:f>
      </x:c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 ht="23" customHeight="1">
      <x:c r="A158" s="8"/>
      <x:c r="B158" s="6"/>
      <x:c r="C158" s="7"/>
      <x:c r="D158" s="6"/>
      <x:c r="E158" s="6"/>
      <x:c r="F158" s="7"/>
      <x:c r="G158" s="6"/>
      <x:c r="H158" s="6"/>
      <x:c r="I158" s="6"/>
      <x:c r="J158" s="6"/>
      <x:c r="K158" s="7"/>
      <x:c r="L158" s="9" t="str">
        <x:f>IF(A158="","",IF(COUNTIFS($A$6:$A$205,A158)&gt;1,"Duplicate client ID",IF(OR(B158="",C158="",E158="",I158="",J158="",K158=""),"Missing core fields",IF(AND(E158="Selected",OR(F158="",G158="",H158="")),"Missing sample evidence","Recorded"))))</x:f>
      </x:c>
      <x:c r="M158" s="9" t="str">
        <x:f>IF(A158="","",IF(E158&lt;&gt;"Selected","Not selected",IF(OR(COUNTIFS('Work queue'!$B$6:$B$205,A158,'Work queue'!$F$6:$F$205,"Support A")=0,COUNTIFS('Work queue'!$B$6:$B$205,A158,'Work queue'!$F$6:$F$205,"Support C")=0),"Check missing A/C tasks","A/C tasks exist")))</x:f>
      </x:c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 ht="23" customHeight="1">
      <x:c r="A159" s="8"/>
      <x:c r="B159" s="6"/>
      <x:c r="C159" s="7"/>
      <x:c r="D159" s="6"/>
      <x:c r="E159" s="6"/>
      <x:c r="F159" s="7"/>
      <x:c r="G159" s="6"/>
      <x:c r="H159" s="6"/>
      <x:c r="I159" s="6"/>
      <x:c r="J159" s="6"/>
      <x:c r="K159" s="7"/>
      <x:c r="L159" s="9" t="str">
        <x:f>IF(A159="","",IF(COUNTIFS($A$6:$A$205,A159)&gt;1,"Duplicate client ID",IF(OR(B159="",C159="",E159="",I159="",J159="",K159=""),"Missing core fields",IF(AND(E159="Selected",OR(F159="",G159="",H159="")),"Missing sample evidence","Recorded"))))</x:f>
      </x:c>
      <x:c r="M159" s="9" t="str">
        <x:f>IF(A159="","",IF(E159&lt;&gt;"Selected","Not selected",IF(OR(COUNTIFS('Work queue'!$B$6:$B$205,A159,'Work queue'!$F$6:$F$205,"Support A")=0,COUNTIFS('Work queue'!$B$6:$B$205,A159,'Work queue'!$F$6:$F$205,"Support C")=0),"Check missing A/C tasks","A/C tasks exist")))</x:f>
      </x:c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 ht="23" customHeight="1">
      <x:c r="A160" s="8"/>
      <x:c r="B160" s="6"/>
      <x:c r="C160" s="7"/>
      <x:c r="D160" s="6"/>
      <x:c r="E160" s="6"/>
      <x:c r="F160" s="7"/>
      <x:c r="G160" s="6"/>
      <x:c r="H160" s="6"/>
      <x:c r="I160" s="6"/>
      <x:c r="J160" s="6"/>
      <x:c r="K160" s="7"/>
      <x:c r="L160" s="9" t="str">
        <x:f>IF(A160="","",IF(COUNTIFS($A$6:$A$205,A160)&gt;1,"Duplicate client ID",IF(OR(B160="",C160="",E160="",I160="",J160="",K160=""),"Missing core fields",IF(AND(E160="Selected",OR(F160="",G160="",H160="")),"Missing sample evidence","Recorded"))))</x:f>
      </x:c>
      <x:c r="M160" s="9" t="str">
        <x:f>IF(A160="","",IF(E160&lt;&gt;"Selected","Not selected",IF(OR(COUNTIFS('Work queue'!$B$6:$B$205,A160,'Work queue'!$F$6:$F$205,"Support A")=0,COUNTIFS('Work queue'!$B$6:$B$205,A160,'Work queue'!$F$6:$F$205,"Support C")=0),"Check missing A/C tasks","A/C tasks exist")))</x:f>
      </x:c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 ht="23" customHeight="1">
      <x:c r="A161" s="8"/>
      <x:c r="B161" s="6"/>
      <x:c r="C161" s="7"/>
      <x:c r="D161" s="6"/>
      <x:c r="E161" s="6"/>
      <x:c r="F161" s="7"/>
      <x:c r="G161" s="6"/>
      <x:c r="H161" s="6"/>
      <x:c r="I161" s="6"/>
      <x:c r="J161" s="6"/>
      <x:c r="K161" s="7"/>
      <x:c r="L161" s="9" t="str">
        <x:f>IF(A161="","",IF(COUNTIFS($A$6:$A$205,A161)&gt;1,"Duplicate client ID",IF(OR(B161="",C161="",E161="",I161="",J161="",K161=""),"Missing core fields",IF(AND(E161="Selected",OR(F161="",G161="",H161="")),"Missing sample evidence","Recorded"))))</x:f>
      </x:c>
      <x:c r="M161" s="9" t="str">
        <x:f>IF(A161="","",IF(E161&lt;&gt;"Selected","Not selected",IF(OR(COUNTIFS('Work queue'!$B$6:$B$205,A161,'Work queue'!$F$6:$F$205,"Support A")=0,COUNTIFS('Work queue'!$B$6:$B$205,A161,'Work queue'!$F$6:$F$205,"Support C")=0),"Check missing A/C tasks","A/C tasks exist")))</x:f>
      </x:c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 ht="23" customHeight="1">
      <x:c r="A162" s="8"/>
      <x:c r="B162" s="6"/>
      <x:c r="C162" s="7"/>
      <x:c r="D162" s="6"/>
      <x:c r="E162" s="6"/>
      <x:c r="F162" s="7"/>
      <x:c r="G162" s="6"/>
      <x:c r="H162" s="6"/>
      <x:c r="I162" s="6"/>
      <x:c r="J162" s="6"/>
      <x:c r="K162" s="7"/>
      <x:c r="L162" s="9" t="str">
        <x:f>IF(A162="","",IF(COUNTIFS($A$6:$A$205,A162)&gt;1,"Duplicate client ID",IF(OR(B162="",C162="",E162="",I162="",J162="",K162=""),"Missing core fields",IF(AND(E162="Selected",OR(F162="",G162="",H162="")),"Missing sample evidence","Recorded"))))</x:f>
      </x:c>
      <x:c r="M162" s="9" t="str">
        <x:f>IF(A162="","",IF(E162&lt;&gt;"Selected","Not selected",IF(OR(COUNTIFS('Work queue'!$B$6:$B$205,A162,'Work queue'!$F$6:$F$205,"Support A")=0,COUNTIFS('Work queue'!$B$6:$B$205,A162,'Work queue'!$F$6:$F$205,"Support C")=0),"Check missing A/C tasks","A/C tasks exist")))</x:f>
      </x:c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 ht="23" customHeight="1">
      <x:c r="A163" s="8"/>
      <x:c r="B163" s="6"/>
      <x:c r="C163" s="7"/>
      <x:c r="D163" s="6"/>
      <x:c r="E163" s="6"/>
      <x:c r="F163" s="7"/>
      <x:c r="G163" s="6"/>
      <x:c r="H163" s="6"/>
      <x:c r="I163" s="6"/>
      <x:c r="J163" s="6"/>
      <x:c r="K163" s="7"/>
      <x:c r="L163" s="9" t="str">
        <x:f>IF(A163="","",IF(COUNTIFS($A$6:$A$205,A163)&gt;1,"Duplicate client ID",IF(OR(B163="",C163="",E163="",I163="",J163="",K163=""),"Missing core fields",IF(AND(E163="Selected",OR(F163="",G163="",H163="")),"Missing sample evidence","Recorded"))))</x:f>
      </x:c>
      <x:c r="M163" s="9" t="str">
        <x:f>IF(A163="","",IF(E163&lt;&gt;"Selected","Not selected",IF(OR(COUNTIFS('Work queue'!$B$6:$B$205,A163,'Work queue'!$F$6:$F$205,"Support A")=0,COUNTIFS('Work queue'!$B$6:$B$205,A163,'Work queue'!$F$6:$F$205,"Support C")=0),"Check missing A/C tasks","A/C tasks exist")))</x:f>
      </x:c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 ht="23" customHeight="1">
      <x:c r="A164" s="8"/>
      <x:c r="B164" s="6"/>
      <x:c r="C164" s="7"/>
      <x:c r="D164" s="6"/>
      <x:c r="E164" s="6"/>
      <x:c r="F164" s="7"/>
      <x:c r="G164" s="6"/>
      <x:c r="H164" s="6"/>
      <x:c r="I164" s="6"/>
      <x:c r="J164" s="6"/>
      <x:c r="K164" s="7"/>
      <x:c r="L164" s="9" t="str">
        <x:f>IF(A164="","",IF(COUNTIFS($A$6:$A$205,A164)&gt;1,"Duplicate client ID",IF(OR(B164="",C164="",E164="",I164="",J164="",K164=""),"Missing core fields",IF(AND(E164="Selected",OR(F164="",G164="",H164="")),"Missing sample evidence","Recorded"))))</x:f>
      </x:c>
      <x:c r="M164" s="9" t="str">
        <x:f>IF(A164="","",IF(E164&lt;&gt;"Selected","Not selected",IF(OR(COUNTIFS('Work queue'!$B$6:$B$205,A164,'Work queue'!$F$6:$F$205,"Support A")=0,COUNTIFS('Work queue'!$B$6:$B$205,A164,'Work queue'!$F$6:$F$205,"Support C")=0),"Check missing A/C tasks","A/C tasks exist")))</x:f>
      </x:c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 ht="23" customHeight="1">
      <x:c r="A165" s="8"/>
      <x:c r="B165" s="6"/>
      <x:c r="C165" s="7"/>
      <x:c r="D165" s="6"/>
      <x:c r="E165" s="6"/>
      <x:c r="F165" s="7"/>
      <x:c r="G165" s="6"/>
      <x:c r="H165" s="6"/>
      <x:c r="I165" s="6"/>
      <x:c r="J165" s="6"/>
      <x:c r="K165" s="7"/>
      <x:c r="L165" s="9" t="str">
        <x:f>IF(A165="","",IF(COUNTIFS($A$6:$A$205,A165)&gt;1,"Duplicate client ID",IF(OR(B165="",C165="",E165="",I165="",J165="",K165=""),"Missing core fields",IF(AND(E165="Selected",OR(F165="",G165="",H165="")),"Missing sample evidence","Recorded"))))</x:f>
      </x:c>
      <x:c r="M165" s="9" t="str">
        <x:f>IF(A165="","",IF(E165&lt;&gt;"Selected","Not selected",IF(OR(COUNTIFS('Work queue'!$B$6:$B$205,A165,'Work queue'!$F$6:$F$205,"Support A")=0,COUNTIFS('Work queue'!$B$6:$B$205,A165,'Work queue'!$F$6:$F$205,"Support C")=0),"Check missing A/C tasks","A/C tasks exist")))</x:f>
      </x:c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 ht="23" customHeight="1">
      <x:c r="A166" s="8"/>
      <x:c r="B166" s="6"/>
      <x:c r="C166" s="7"/>
      <x:c r="D166" s="6"/>
      <x:c r="E166" s="6"/>
      <x:c r="F166" s="7"/>
      <x:c r="G166" s="6"/>
      <x:c r="H166" s="6"/>
      <x:c r="I166" s="6"/>
      <x:c r="J166" s="6"/>
      <x:c r="K166" s="7"/>
      <x:c r="L166" s="9" t="str">
        <x:f>IF(A166="","",IF(COUNTIFS($A$6:$A$205,A166)&gt;1,"Duplicate client ID",IF(OR(B166="",C166="",E166="",I166="",J166="",K166=""),"Missing core fields",IF(AND(E166="Selected",OR(F166="",G166="",H166="")),"Missing sample evidence","Recorded"))))</x:f>
      </x:c>
      <x:c r="M166" s="9" t="str">
        <x:f>IF(A166="","",IF(E166&lt;&gt;"Selected","Not selected",IF(OR(COUNTIFS('Work queue'!$B$6:$B$205,A166,'Work queue'!$F$6:$F$205,"Support A")=0,COUNTIFS('Work queue'!$B$6:$B$205,A166,'Work queue'!$F$6:$F$205,"Support C")=0),"Check missing A/C tasks","A/C tasks exist")))</x:f>
      </x:c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 ht="23" customHeight="1">
      <x:c r="A167" s="8"/>
      <x:c r="B167" s="6"/>
      <x:c r="C167" s="7"/>
      <x:c r="D167" s="6"/>
      <x:c r="E167" s="6"/>
      <x:c r="F167" s="7"/>
      <x:c r="G167" s="6"/>
      <x:c r="H167" s="6"/>
      <x:c r="I167" s="6"/>
      <x:c r="J167" s="6"/>
      <x:c r="K167" s="7"/>
      <x:c r="L167" s="9" t="str">
        <x:f>IF(A167="","",IF(COUNTIFS($A$6:$A$205,A167)&gt;1,"Duplicate client ID",IF(OR(B167="",C167="",E167="",I167="",J167="",K167=""),"Missing core fields",IF(AND(E167="Selected",OR(F167="",G167="",H167="")),"Missing sample evidence","Recorded"))))</x:f>
      </x:c>
      <x:c r="M167" s="9" t="str">
        <x:f>IF(A167="","",IF(E167&lt;&gt;"Selected","Not selected",IF(OR(COUNTIFS('Work queue'!$B$6:$B$205,A167,'Work queue'!$F$6:$F$205,"Support A")=0,COUNTIFS('Work queue'!$B$6:$B$205,A167,'Work queue'!$F$6:$F$205,"Support C")=0),"Check missing A/C tasks","A/C tasks exist")))</x:f>
      </x:c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 ht="23" customHeight="1">
      <x:c r="A168" s="8"/>
      <x:c r="B168" s="6"/>
      <x:c r="C168" s="7"/>
      <x:c r="D168" s="6"/>
      <x:c r="E168" s="6"/>
      <x:c r="F168" s="7"/>
      <x:c r="G168" s="6"/>
      <x:c r="H168" s="6"/>
      <x:c r="I168" s="6"/>
      <x:c r="J168" s="6"/>
      <x:c r="K168" s="7"/>
      <x:c r="L168" s="9" t="str">
        <x:f>IF(A168="","",IF(COUNTIFS($A$6:$A$205,A168)&gt;1,"Duplicate client ID",IF(OR(B168="",C168="",E168="",I168="",J168="",K168=""),"Missing core fields",IF(AND(E168="Selected",OR(F168="",G168="",H168="")),"Missing sample evidence","Recorded"))))</x:f>
      </x:c>
      <x:c r="M168" s="9" t="str">
        <x:f>IF(A168="","",IF(E168&lt;&gt;"Selected","Not selected",IF(OR(COUNTIFS('Work queue'!$B$6:$B$205,A168,'Work queue'!$F$6:$F$205,"Support A")=0,COUNTIFS('Work queue'!$B$6:$B$205,A168,'Work queue'!$F$6:$F$205,"Support C")=0),"Check missing A/C tasks","A/C tasks exist")))</x:f>
      </x:c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 ht="23" customHeight="1">
      <x:c r="A169" s="8"/>
      <x:c r="B169" s="6"/>
      <x:c r="C169" s="7"/>
      <x:c r="D169" s="6"/>
      <x:c r="E169" s="6"/>
      <x:c r="F169" s="7"/>
      <x:c r="G169" s="6"/>
      <x:c r="H169" s="6"/>
      <x:c r="I169" s="6"/>
      <x:c r="J169" s="6"/>
      <x:c r="K169" s="7"/>
      <x:c r="L169" s="9" t="str">
        <x:f>IF(A169="","",IF(COUNTIFS($A$6:$A$205,A169)&gt;1,"Duplicate client ID",IF(OR(B169="",C169="",E169="",I169="",J169="",K169=""),"Missing core fields",IF(AND(E169="Selected",OR(F169="",G169="",H169="")),"Missing sample evidence","Recorded"))))</x:f>
      </x:c>
      <x:c r="M169" s="9" t="str">
        <x:f>IF(A169="","",IF(E169&lt;&gt;"Selected","Not selected",IF(OR(COUNTIFS('Work queue'!$B$6:$B$205,A169,'Work queue'!$F$6:$F$205,"Support A")=0,COUNTIFS('Work queue'!$B$6:$B$205,A169,'Work queue'!$F$6:$F$205,"Support C")=0),"Check missing A/C tasks","A/C tasks exist")))</x:f>
      </x:c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 ht="23" customHeight="1">
      <x:c r="A170" s="8"/>
      <x:c r="B170" s="6"/>
      <x:c r="C170" s="7"/>
      <x:c r="D170" s="6"/>
      <x:c r="E170" s="6"/>
      <x:c r="F170" s="7"/>
      <x:c r="G170" s="6"/>
      <x:c r="H170" s="6"/>
      <x:c r="I170" s="6"/>
      <x:c r="J170" s="6"/>
      <x:c r="K170" s="7"/>
      <x:c r="L170" s="9" t="str">
        <x:f>IF(A170="","",IF(COUNTIFS($A$6:$A$205,A170)&gt;1,"Duplicate client ID",IF(OR(B170="",C170="",E170="",I170="",J170="",K170=""),"Missing core fields",IF(AND(E170="Selected",OR(F170="",G170="",H170="")),"Missing sample evidence","Recorded"))))</x:f>
      </x:c>
      <x:c r="M170" s="9" t="str">
        <x:f>IF(A170="","",IF(E170&lt;&gt;"Selected","Not selected",IF(OR(COUNTIFS('Work queue'!$B$6:$B$205,A170,'Work queue'!$F$6:$F$205,"Support A")=0,COUNTIFS('Work queue'!$B$6:$B$205,A170,'Work queue'!$F$6:$F$205,"Support C")=0),"Check missing A/C tasks","A/C tasks exist")))</x:f>
      </x:c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 ht="23" customHeight="1">
      <x:c r="A171" s="8"/>
      <x:c r="B171" s="6"/>
      <x:c r="C171" s="7"/>
      <x:c r="D171" s="6"/>
      <x:c r="E171" s="6"/>
      <x:c r="F171" s="7"/>
      <x:c r="G171" s="6"/>
      <x:c r="H171" s="6"/>
      <x:c r="I171" s="6"/>
      <x:c r="J171" s="6"/>
      <x:c r="K171" s="7"/>
      <x:c r="L171" s="9" t="str">
        <x:f>IF(A171="","",IF(COUNTIFS($A$6:$A$205,A171)&gt;1,"Duplicate client ID",IF(OR(B171="",C171="",E171="",I171="",J171="",K171=""),"Missing core fields",IF(AND(E171="Selected",OR(F171="",G171="",H171="")),"Missing sample evidence","Recorded"))))</x:f>
      </x:c>
      <x:c r="M171" s="9" t="str">
        <x:f>IF(A171="","",IF(E171&lt;&gt;"Selected","Not selected",IF(OR(COUNTIFS('Work queue'!$B$6:$B$205,A171,'Work queue'!$F$6:$F$205,"Support A")=0,COUNTIFS('Work queue'!$B$6:$B$205,A171,'Work queue'!$F$6:$F$205,"Support C")=0),"Check missing A/C tasks","A/C tasks exist")))</x:f>
      </x:c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 ht="23" customHeight="1">
      <x:c r="A172" s="8"/>
      <x:c r="B172" s="6"/>
      <x:c r="C172" s="7"/>
      <x:c r="D172" s="6"/>
      <x:c r="E172" s="6"/>
      <x:c r="F172" s="7"/>
      <x:c r="G172" s="6"/>
      <x:c r="H172" s="6"/>
      <x:c r="I172" s="6"/>
      <x:c r="J172" s="6"/>
      <x:c r="K172" s="7"/>
      <x:c r="L172" s="9" t="str">
        <x:f>IF(A172="","",IF(COUNTIFS($A$6:$A$205,A172)&gt;1,"Duplicate client ID",IF(OR(B172="",C172="",E172="",I172="",J172="",K172=""),"Missing core fields",IF(AND(E172="Selected",OR(F172="",G172="",H172="")),"Missing sample evidence","Recorded"))))</x:f>
      </x:c>
      <x:c r="M172" s="9" t="str">
        <x:f>IF(A172="","",IF(E172&lt;&gt;"Selected","Not selected",IF(OR(COUNTIFS('Work queue'!$B$6:$B$205,A172,'Work queue'!$F$6:$F$205,"Support A")=0,COUNTIFS('Work queue'!$B$6:$B$205,A172,'Work queue'!$F$6:$F$205,"Support C")=0),"Check missing A/C tasks","A/C tasks exist")))</x:f>
      </x:c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 ht="23" customHeight="1">
      <x:c r="A173" s="8"/>
      <x:c r="B173" s="6"/>
      <x:c r="C173" s="7"/>
      <x:c r="D173" s="6"/>
      <x:c r="E173" s="6"/>
      <x:c r="F173" s="7"/>
      <x:c r="G173" s="6"/>
      <x:c r="H173" s="6"/>
      <x:c r="I173" s="6"/>
      <x:c r="J173" s="6"/>
      <x:c r="K173" s="7"/>
      <x:c r="L173" s="9" t="str">
        <x:f>IF(A173="","",IF(COUNTIFS($A$6:$A$205,A173)&gt;1,"Duplicate client ID",IF(OR(B173="",C173="",E173="",I173="",J173="",K173=""),"Missing core fields",IF(AND(E173="Selected",OR(F173="",G173="",H173="")),"Missing sample evidence","Recorded"))))</x:f>
      </x:c>
      <x:c r="M173" s="9" t="str">
        <x:f>IF(A173="","",IF(E173&lt;&gt;"Selected","Not selected",IF(OR(COUNTIFS('Work queue'!$B$6:$B$205,A173,'Work queue'!$F$6:$F$205,"Support A")=0,COUNTIFS('Work queue'!$B$6:$B$205,A173,'Work queue'!$F$6:$F$205,"Support C")=0),"Check missing A/C tasks","A/C tasks exist")))</x:f>
      </x:c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 ht="23" customHeight="1">
      <x:c r="A174" s="8"/>
      <x:c r="B174" s="6"/>
      <x:c r="C174" s="7"/>
      <x:c r="D174" s="6"/>
      <x:c r="E174" s="6"/>
      <x:c r="F174" s="7"/>
      <x:c r="G174" s="6"/>
      <x:c r="H174" s="6"/>
      <x:c r="I174" s="6"/>
      <x:c r="J174" s="6"/>
      <x:c r="K174" s="7"/>
      <x:c r="L174" s="9" t="str">
        <x:f>IF(A174="","",IF(COUNTIFS($A$6:$A$205,A174)&gt;1,"Duplicate client ID",IF(OR(B174="",C174="",E174="",I174="",J174="",K174=""),"Missing core fields",IF(AND(E174="Selected",OR(F174="",G174="",H174="")),"Missing sample evidence","Recorded"))))</x:f>
      </x:c>
      <x:c r="M174" s="9" t="str">
        <x:f>IF(A174="","",IF(E174&lt;&gt;"Selected","Not selected",IF(OR(COUNTIFS('Work queue'!$B$6:$B$205,A174,'Work queue'!$F$6:$F$205,"Support A")=0,COUNTIFS('Work queue'!$B$6:$B$205,A174,'Work queue'!$F$6:$F$205,"Support C")=0),"Check missing A/C tasks","A/C tasks exist")))</x:f>
      </x:c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 ht="23" customHeight="1">
      <x:c r="A175" s="8"/>
      <x:c r="B175" s="6"/>
      <x:c r="C175" s="7"/>
      <x:c r="D175" s="6"/>
      <x:c r="E175" s="6"/>
      <x:c r="F175" s="7"/>
      <x:c r="G175" s="6"/>
      <x:c r="H175" s="6"/>
      <x:c r="I175" s="6"/>
      <x:c r="J175" s="6"/>
      <x:c r="K175" s="7"/>
      <x:c r="L175" s="9" t="str">
        <x:f>IF(A175="","",IF(COUNTIFS($A$6:$A$205,A175)&gt;1,"Duplicate client ID",IF(OR(B175="",C175="",E175="",I175="",J175="",K175=""),"Missing core fields",IF(AND(E175="Selected",OR(F175="",G175="",H175="")),"Missing sample evidence","Recorded"))))</x:f>
      </x:c>
      <x:c r="M175" s="9" t="str">
        <x:f>IF(A175="","",IF(E175&lt;&gt;"Selected","Not selected",IF(OR(COUNTIFS('Work queue'!$B$6:$B$205,A175,'Work queue'!$F$6:$F$205,"Support A")=0,COUNTIFS('Work queue'!$B$6:$B$205,A175,'Work queue'!$F$6:$F$205,"Support C")=0),"Check missing A/C tasks","A/C tasks exist")))</x:f>
      </x:c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 ht="23" customHeight="1">
      <x:c r="A176" s="8"/>
      <x:c r="B176" s="6"/>
      <x:c r="C176" s="7"/>
      <x:c r="D176" s="6"/>
      <x:c r="E176" s="6"/>
      <x:c r="F176" s="7"/>
      <x:c r="G176" s="6"/>
      <x:c r="H176" s="6"/>
      <x:c r="I176" s="6"/>
      <x:c r="J176" s="6"/>
      <x:c r="K176" s="7"/>
      <x:c r="L176" s="9" t="str">
        <x:f>IF(A176="","",IF(COUNTIFS($A$6:$A$205,A176)&gt;1,"Duplicate client ID",IF(OR(B176="",C176="",E176="",I176="",J176="",K176=""),"Missing core fields",IF(AND(E176="Selected",OR(F176="",G176="",H176="")),"Missing sample evidence","Recorded"))))</x:f>
      </x:c>
      <x:c r="M176" s="9" t="str">
        <x:f>IF(A176="","",IF(E176&lt;&gt;"Selected","Not selected",IF(OR(COUNTIFS('Work queue'!$B$6:$B$205,A176,'Work queue'!$F$6:$F$205,"Support A")=0,COUNTIFS('Work queue'!$B$6:$B$205,A176,'Work queue'!$F$6:$F$205,"Support C")=0),"Check missing A/C tasks","A/C tasks exist")))</x:f>
      </x:c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 ht="23" customHeight="1">
      <x:c r="A177" s="8"/>
      <x:c r="B177" s="6"/>
      <x:c r="C177" s="7"/>
      <x:c r="D177" s="6"/>
      <x:c r="E177" s="6"/>
      <x:c r="F177" s="7"/>
      <x:c r="G177" s="6"/>
      <x:c r="H177" s="6"/>
      <x:c r="I177" s="6"/>
      <x:c r="J177" s="6"/>
      <x:c r="K177" s="7"/>
      <x:c r="L177" s="9" t="str">
        <x:f>IF(A177="","",IF(COUNTIFS($A$6:$A$205,A177)&gt;1,"Duplicate client ID",IF(OR(B177="",C177="",E177="",I177="",J177="",K177=""),"Missing core fields",IF(AND(E177="Selected",OR(F177="",G177="",H177="")),"Missing sample evidence","Recorded"))))</x:f>
      </x:c>
      <x:c r="M177" s="9" t="str">
        <x:f>IF(A177="","",IF(E177&lt;&gt;"Selected","Not selected",IF(OR(COUNTIFS('Work queue'!$B$6:$B$205,A177,'Work queue'!$F$6:$F$205,"Support A")=0,COUNTIFS('Work queue'!$B$6:$B$205,A177,'Work queue'!$F$6:$F$205,"Support C")=0),"Check missing A/C tasks","A/C tasks exist")))</x:f>
      </x:c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 ht="23" customHeight="1">
      <x:c r="A178" s="8"/>
      <x:c r="B178" s="6"/>
      <x:c r="C178" s="7"/>
      <x:c r="D178" s="6"/>
      <x:c r="E178" s="6"/>
      <x:c r="F178" s="7"/>
      <x:c r="G178" s="6"/>
      <x:c r="H178" s="6"/>
      <x:c r="I178" s="6"/>
      <x:c r="J178" s="6"/>
      <x:c r="K178" s="7"/>
      <x:c r="L178" s="9" t="str">
        <x:f>IF(A178="","",IF(COUNTIFS($A$6:$A$205,A178)&gt;1,"Duplicate client ID",IF(OR(B178="",C178="",E178="",I178="",J178="",K178=""),"Missing core fields",IF(AND(E178="Selected",OR(F178="",G178="",H178="")),"Missing sample evidence","Recorded"))))</x:f>
      </x:c>
      <x:c r="M178" s="9" t="str">
        <x:f>IF(A178="","",IF(E178&lt;&gt;"Selected","Not selected",IF(OR(COUNTIFS('Work queue'!$B$6:$B$205,A178,'Work queue'!$F$6:$F$205,"Support A")=0,COUNTIFS('Work queue'!$B$6:$B$205,A178,'Work queue'!$F$6:$F$205,"Support C")=0),"Check missing A/C tasks","A/C tasks exist")))</x:f>
      </x:c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 ht="23" customHeight="1">
      <x:c r="A179" s="8"/>
      <x:c r="B179" s="6"/>
      <x:c r="C179" s="7"/>
      <x:c r="D179" s="6"/>
      <x:c r="E179" s="6"/>
      <x:c r="F179" s="7"/>
      <x:c r="G179" s="6"/>
      <x:c r="H179" s="6"/>
      <x:c r="I179" s="6"/>
      <x:c r="J179" s="6"/>
      <x:c r="K179" s="7"/>
      <x:c r="L179" s="9" t="str">
        <x:f>IF(A179="","",IF(COUNTIFS($A$6:$A$205,A179)&gt;1,"Duplicate client ID",IF(OR(B179="",C179="",E179="",I179="",J179="",K179=""),"Missing core fields",IF(AND(E179="Selected",OR(F179="",G179="",H179="")),"Missing sample evidence","Recorded"))))</x:f>
      </x:c>
      <x:c r="M179" s="9" t="str">
        <x:f>IF(A179="","",IF(E179&lt;&gt;"Selected","Not selected",IF(OR(COUNTIFS('Work queue'!$B$6:$B$205,A179,'Work queue'!$F$6:$F$205,"Support A")=0,COUNTIFS('Work queue'!$B$6:$B$205,A179,'Work queue'!$F$6:$F$205,"Support C")=0),"Check missing A/C tasks","A/C tasks exist")))</x:f>
      </x:c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 ht="23" customHeight="1">
      <x:c r="A180" s="8"/>
      <x:c r="B180" s="6"/>
      <x:c r="C180" s="7"/>
      <x:c r="D180" s="6"/>
      <x:c r="E180" s="6"/>
      <x:c r="F180" s="7"/>
      <x:c r="G180" s="6"/>
      <x:c r="H180" s="6"/>
      <x:c r="I180" s="6"/>
      <x:c r="J180" s="6"/>
      <x:c r="K180" s="7"/>
      <x:c r="L180" s="9" t="str">
        <x:f>IF(A180="","",IF(COUNTIFS($A$6:$A$205,A180)&gt;1,"Duplicate client ID",IF(OR(B180="",C180="",E180="",I180="",J180="",K180=""),"Missing core fields",IF(AND(E180="Selected",OR(F180="",G180="",H180="")),"Missing sample evidence","Recorded"))))</x:f>
      </x:c>
      <x:c r="M180" s="9" t="str">
        <x:f>IF(A180="","",IF(E180&lt;&gt;"Selected","Not selected",IF(OR(COUNTIFS('Work queue'!$B$6:$B$205,A180,'Work queue'!$F$6:$F$205,"Support A")=0,COUNTIFS('Work queue'!$B$6:$B$205,A180,'Work queue'!$F$6:$F$205,"Support C")=0),"Check missing A/C tasks","A/C tasks exist")))</x:f>
      </x:c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 ht="23" customHeight="1">
      <x:c r="A181" s="8"/>
      <x:c r="B181" s="6"/>
      <x:c r="C181" s="7"/>
      <x:c r="D181" s="6"/>
      <x:c r="E181" s="6"/>
      <x:c r="F181" s="7"/>
      <x:c r="G181" s="6"/>
      <x:c r="H181" s="6"/>
      <x:c r="I181" s="6"/>
      <x:c r="J181" s="6"/>
      <x:c r="K181" s="7"/>
      <x:c r="L181" s="9" t="str">
        <x:f>IF(A181="","",IF(COUNTIFS($A$6:$A$205,A181)&gt;1,"Duplicate client ID",IF(OR(B181="",C181="",E181="",I181="",J181="",K181=""),"Missing core fields",IF(AND(E181="Selected",OR(F181="",G181="",H181="")),"Missing sample evidence","Recorded"))))</x:f>
      </x:c>
      <x:c r="M181" s="9" t="str">
        <x:f>IF(A181="","",IF(E181&lt;&gt;"Selected","Not selected",IF(OR(COUNTIFS('Work queue'!$B$6:$B$205,A181,'Work queue'!$F$6:$F$205,"Support A")=0,COUNTIFS('Work queue'!$B$6:$B$205,A181,'Work queue'!$F$6:$F$205,"Support C")=0),"Check missing A/C tasks","A/C tasks exist")))</x:f>
      </x:c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 ht="23" customHeight="1">
      <x:c r="A182" s="8"/>
      <x:c r="B182" s="6"/>
      <x:c r="C182" s="7"/>
      <x:c r="D182" s="6"/>
      <x:c r="E182" s="6"/>
      <x:c r="F182" s="7"/>
      <x:c r="G182" s="6"/>
      <x:c r="H182" s="6"/>
      <x:c r="I182" s="6"/>
      <x:c r="J182" s="6"/>
      <x:c r="K182" s="7"/>
      <x:c r="L182" s="9" t="str">
        <x:f>IF(A182="","",IF(COUNTIFS($A$6:$A$205,A182)&gt;1,"Duplicate client ID",IF(OR(B182="",C182="",E182="",I182="",J182="",K182=""),"Missing core fields",IF(AND(E182="Selected",OR(F182="",G182="",H182="")),"Missing sample evidence","Recorded"))))</x:f>
      </x:c>
      <x:c r="M182" s="9" t="str">
        <x:f>IF(A182="","",IF(E182&lt;&gt;"Selected","Not selected",IF(OR(COUNTIFS('Work queue'!$B$6:$B$205,A182,'Work queue'!$F$6:$F$205,"Support A")=0,COUNTIFS('Work queue'!$B$6:$B$205,A182,'Work queue'!$F$6:$F$205,"Support C")=0),"Check missing A/C tasks","A/C tasks exist")))</x:f>
      </x:c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 ht="23" customHeight="1">
      <x:c r="A183" s="8"/>
      <x:c r="B183" s="6"/>
      <x:c r="C183" s="7"/>
      <x:c r="D183" s="6"/>
      <x:c r="E183" s="6"/>
      <x:c r="F183" s="7"/>
      <x:c r="G183" s="6"/>
      <x:c r="H183" s="6"/>
      <x:c r="I183" s="6"/>
      <x:c r="J183" s="6"/>
      <x:c r="K183" s="7"/>
      <x:c r="L183" s="9" t="str">
        <x:f>IF(A183="","",IF(COUNTIFS($A$6:$A$205,A183)&gt;1,"Duplicate client ID",IF(OR(B183="",C183="",E183="",I183="",J183="",K183=""),"Missing core fields",IF(AND(E183="Selected",OR(F183="",G183="",H183="")),"Missing sample evidence","Recorded"))))</x:f>
      </x:c>
      <x:c r="M183" s="9" t="str">
        <x:f>IF(A183="","",IF(E183&lt;&gt;"Selected","Not selected",IF(OR(COUNTIFS('Work queue'!$B$6:$B$205,A183,'Work queue'!$F$6:$F$205,"Support A")=0,COUNTIFS('Work queue'!$B$6:$B$205,A183,'Work queue'!$F$6:$F$205,"Support C")=0),"Check missing A/C tasks","A/C tasks exist")))</x:f>
      </x:c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 ht="23" customHeight="1">
      <x:c r="A184" s="8"/>
      <x:c r="B184" s="6"/>
      <x:c r="C184" s="7"/>
      <x:c r="D184" s="6"/>
      <x:c r="E184" s="6"/>
      <x:c r="F184" s="7"/>
      <x:c r="G184" s="6"/>
      <x:c r="H184" s="6"/>
      <x:c r="I184" s="6"/>
      <x:c r="J184" s="6"/>
      <x:c r="K184" s="7"/>
      <x:c r="L184" s="9" t="str">
        <x:f>IF(A184="","",IF(COUNTIFS($A$6:$A$205,A184)&gt;1,"Duplicate client ID",IF(OR(B184="",C184="",E184="",I184="",J184="",K184=""),"Missing core fields",IF(AND(E184="Selected",OR(F184="",G184="",H184="")),"Missing sample evidence","Recorded"))))</x:f>
      </x:c>
      <x:c r="M184" s="9" t="str">
        <x:f>IF(A184="","",IF(E184&lt;&gt;"Selected","Not selected",IF(OR(COUNTIFS('Work queue'!$B$6:$B$205,A184,'Work queue'!$F$6:$F$205,"Support A")=0,COUNTIFS('Work queue'!$B$6:$B$205,A184,'Work queue'!$F$6:$F$205,"Support C")=0),"Check missing A/C tasks","A/C tasks exist")))</x:f>
      </x:c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 ht="23" customHeight="1">
      <x:c r="A185" s="8"/>
      <x:c r="B185" s="6"/>
      <x:c r="C185" s="7"/>
      <x:c r="D185" s="6"/>
      <x:c r="E185" s="6"/>
      <x:c r="F185" s="7"/>
      <x:c r="G185" s="6"/>
      <x:c r="H185" s="6"/>
      <x:c r="I185" s="6"/>
      <x:c r="J185" s="6"/>
      <x:c r="K185" s="7"/>
      <x:c r="L185" s="9" t="str">
        <x:f>IF(A185="","",IF(COUNTIFS($A$6:$A$205,A185)&gt;1,"Duplicate client ID",IF(OR(B185="",C185="",E185="",I185="",J185="",K185=""),"Missing core fields",IF(AND(E185="Selected",OR(F185="",G185="",H185="")),"Missing sample evidence","Recorded"))))</x:f>
      </x:c>
      <x:c r="M185" s="9" t="str">
        <x:f>IF(A185="","",IF(E185&lt;&gt;"Selected","Not selected",IF(OR(COUNTIFS('Work queue'!$B$6:$B$205,A185,'Work queue'!$F$6:$F$205,"Support A")=0,COUNTIFS('Work queue'!$B$6:$B$205,A185,'Work queue'!$F$6:$F$205,"Support C")=0),"Check missing A/C tasks","A/C tasks exist")))</x:f>
      </x:c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 ht="23" customHeight="1">
      <x:c r="A186" s="8"/>
      <x:c r="B186" s="6"/>
      <x:c r="C186" s="7"/>
      <x:c r="D186" s="6"/>
      <x:c r="E186" s="6"/>
      <x:c r="F186" s="7"/>
      <x:c r="G186" s="6"/>
      <x:c r="H186" s="6"/>
      <x:c r="I186" s="6"/>
      <x:c r="J186" s="6"/>
      <x:c r="K186" s="7"/>
      <x:c r="L186" s="9" t="str">
        <x:f>IF(A186="","",IF(COUNTIFS($A$6:$A$205,A186)&gt;1,"Duplicate client ID",IF(OR(B186="",C186="",E186="",I186="",J186="",K186=""),"Missing core fields",IF(AND(E186="Selected",OR(F186="",G186="",H186="")),"Missing sample evidence","Recorded"))))</x:f>
      </x:c>
      <x:c r="M186" s="9" t="str">
        <x:f>IF(A186="","",IF(E186&lt;&gt;"Selected","Not selected",IF(OR(COUNTIFS('Work queue'!$B$6:$B$205,A186,'Work queue'!$F$6:$F$205,"Support A")=0,COUNTIFS('Work queue'!$B$6:$B$205,A186,'Work queue'!$F$6:$F$205,"Support C")=0),"Check missing A/C tasks","A/C tasks exist")))</x:f>
      </x:c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 ht="23" customHeight="1">
      <x:c r="A187" s="8"/>
      <x:c r="B187" s="6"/>
      <x:c r="C187" s="7"/>
      <x:c r="D187" s="6"/>
      <x:c r="E187" s="6"/>
      <x:c r="F187" s="7"/>
      <x:c r="G187" s="6"/>
      <x:c r="H187" s="6"/>
      <x:c r="I187" s="6"/>
      <x:c r="J187" s="6"/>
      <x:c r="K187" s="7"/>
      <x:c r="L187" s="9" t="str">
        <x:f>IF(A187="","",IF(COUNTIFS($A$6:$A$205,A187)&gt;1,"Duplicate client ID",IF(OR(B187="",C187="",E187="",I187="",J187="",K187=""),"Missing core fields",IF(AND(E187="Selected",OR(F187="",G187="",H187="")),"Missing sample evidence","Recorded"))))</x:f>
      </x:c>
      <x:c r="M187" s="9" t="str">
        <x:f>IF(A187="","",IF(E187&lt;&gt;"Selected","Not selected",IF(OR(COUNTIFS('Work queue'!$B$6:$B$205,A187,'Work queue'!$F$6:$F$205,"Support A")=0,COUNTIFS('Work queue'!$B$6:$B$205,A187,'Work queue'!$F$6:$F$205,"Support C")=0),"Check missing A/C tasks","A/C tasks exist")))</x:f>
      </x:c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 ht="23" customHeight="1">
      <x:c r="A188" s="8"/>
      <x:c r="B188" s="6"/>
      <x:c r="C188" s="7"/>
      <x:c r="D188" s="6"/>
      <x:c r="E188" s="6"/>
      <x:c r="F188" s="7"/>
      <x:c r="G188" s="6"/>
      <x:c r="H188" s="6"/>
      <x:c r="I188" s="6"/>
      <x:c r="J188" s="6"/>
      <x:c r="K188" s="7"/>
      <x:c r="L188" s="9" t="str">
        <x:f>IF(A188="","",IF(COUNTIFS($A$6:$A$205,A188)&gt;1,"Duplicate client ID",IF(OR(B188="",C188="",E188="",I188="",J188="",K188=""),"Missing core fields",IF(AND(E188="Selected",OR(F188="",G188="",H188="")),"Missing sample evidence","Recorded"))))</x:f>
      </x:c>
      <x:c r="M188" s="9" t="str">
        <x:f>IF(A188="","",IF(E188&lt;&gt;"Selected","Not selected",IF(OR(COUNTIFS('Work queue'!$B$6:$B$205,A188,'Work queue'!$F$6:$F$205,"Support A")=0,COUNTIFS('Work queue'!$B$6:$B$205,A188,'Work queue'!$F$6:$F$205,"Support C")=0),"Check missing A/C tasks","A/C tasks exist")))</x:f>
      </x:c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 ht="23" customHeight="1">
      <x:c r="A189" s="8"/>
      <x:c r="B189" s="6"/>
      <x:c r="C189" s="7"/>
      <x:c r="D189" s="6"/>
      <x:c r="E189" s="6"/>
      <x:c r="F189" s="7"/>
      <x:c r="G189" s="6"/>
      <x:c r="H189" s="6"/>
      <x:c r="I189" s="6"/>
      <x:c r="J189" s="6"/>
      <x:c r="K189" s="7"/>
      <x:c r="L189" s="9" t="str">
        <x:f>IF(A189="","",IF(COUNTIFS($A$6:$A$205,A189)&gt;1,"Duplicate client ID",IF(OR(B189="",C189="",E189="",I189="",J189="",K189=""),"Missing core fields",IF(AND(E189="Selected",OR(F189="",G189="",H189="")),"Missing sample evidence","Recorded"))))</x:f>
      </x:c>
      <x:c r="M189" s="9" t="str">
        <x:f>IF(A189="","",IF(E189&lt;&gt;"Selected","Not selected",IF(OR(COUNTIFS('Work queue'!$B$6:$B$205,A189,'Work queue'!$F$6:$F$205,"Support A")=0,COUNTIFS('Work queue'!$B$6:$B$205,A189,'Work queue'!$F$6:$F$205,"Support C")=0),"Check missing A/C tasks","A/C tasks exist")))</x:f>
      </x:c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 ht="23" customHeight="1">
      <x:c r="A190" s="8"/>
      <x:c r="B190" s="6"/>
      <x:c r="C190" s="7"/>
      <x:c r="D190" s="6"/>
      <x:c r="E190" s="6"/>
      <x:c r="F190" s="7"/>
      <x:c r="G190" s="6"/>
      <x:c r="H190" s="6"/>
      <x:c r="I190" s="6"/>
      <x:c r="J190" s="6"/>
      <x:c r="K190" s="7"/>
      <x:c r="L190" s="9" t="str">
        <x:f>IF(A190="","",IF(COUNTIFS($A$6:$A$205,A190)&gt;1,"Duplicate client ID",IF(OR(B190="",C190="",E190="",I190="",J190="",K190=""),"Missing core fields",IF(AND(E190="Selected",OR(F190="",G190="",H190="")),"Missing sample evidence","Recorded"))))</x:f>
      </x:c>
      <x:c r="M190" s="9" t="str">
        <x:f>IF(A190="","",IF(E190&lt;&gt;"Selected","Not selected",IF(OR(COUNTIFS('Work queue'!$B$6:$B$205,A190,'Work queue'!$F$6:$F$205,"Support A")=0,COUNTIFS('Work queue'!$B$6:$B$205,A190,'Work queue'!$F$6:$F$205,"Support C")=0),"Check missing A/C tasks","A/C tasks exist")))</x:f>
      </x:c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 ht="23" customHeight="1">
      <x:c r="A191" s="8"/>
      <x:c r="B191" s="6"/>
      <x:c r="C191" s="7"/>
      <x:c r="D191" s="6"/>
      <x:c r="E191" s="6"/>
      <x:c r="F191" s="7"/>
      <x:c r="G191" s="6"/>
      <x:c r="H191" s="6"/>
      <x:c r="I191" s="6"/>
      <x:c r="J191" s="6"/>
      <x:c r="K191" s="7"/>
      <x:c r="L191" s="9" t="str">
        <x:f>IF(A191="","",IF(COUNTIFS($A$6:$A$205,A191)&gt;1,"Duplicate client ID",IF(OR(B191="",C191="",E191="",I191="",J191="",K191=""),"Missing core fields",IF(AND(E191="Selected",OR(F191="",G191="",H191="")),"Missing sample evidence","Recorded"))))</x:f>
      </x:c>
      <x:c r="M191" s="9" t="str">
        <x:f>IF(A191="","",IF(E191&lt;&gt;"Selected","Not selected",IF(OR(COUNTIFS('Work queue'!$B$6:$B$205,A191,'Work queue'!$F$6:$F$205,"Support A")=0,COUNTIFS('Work queue'!$B$6:$B$205,A191,'Work queue'!$F$6:$F$205,"Support C")=0),"Check missing A/C tasks","A/C tasks exist")))</x:f>
      </x:c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 ht="23" customHeight="1">
      <x:c r="A192" s="8"/>
      <x:c r="B192" s="6"/>
      <x:c r="C192" s="7"/>
      <x:c r="D192" s="6"/>
      <x:c r="E192" s="6"/>
      <x:c r="F192" s="7"/>
      <x:c r="G192" s="6"/>
      <x:c r="H192" s="6"/>
      <x:c r="I192" s="6"/>
      <x:c r="J192" s="6"/>
      <x:c r="K192" s="7"/>
      <x:c r="L192" s="9" t="str">
        <x:f>IF(A192="","",IF(COUNTIFS($A$6:$A$205,A192)&gt;1,"Duplicate client ID",IF(OR(B192="",C192="",E192="",I192="",J192="",K192=""),"Missing core fields",IF(AND(E192="Selected",OR(F192="",G192="",H192="")),"Missing sample evidence","Recorded"))))</x:f>
      </x:c>
      <x:c r="M192" s="9" t="str">
        <x:f>IF(A192="","",IF(E192&lt;&gt;"Selected","Not selected",IF(OR(COUNTIFS('Work queue'!$B$6:$B$205,A192,'Work queue'!$F$6:$F$205,"Support A")=0,COUNTIFS('Work queue'!$B$6:$B$205,A192,'Work queue'!$F$6:$F$205,"Support C")=0),"Check missing A/C tasks","A/C tasks exist")))</x:f>
      </x:c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 ht="23" customHeight="1">
      <x:c r="A193" s="8"/>
      <x:c r="B193" s="6"/>
      <x:c r="C193" s="7"/>
      <x:c r="D193" s="6"/>
      <x:c r="E193" s="6"/>
      <x:c r="F193" s="7"/>
      <x:c r="G193" s="6"/>
      <x:c r="H193" s="6"/>
      <x:c r="I193" s="6"/>
      <x:c r="J193" s="6"/>
      <x:c r="K193" s="7"/>
      <x:c r="L193" s="9" t="str">
        <x:f>IF(A193="","",IF(COUNTIFS($A$6:$A$205,A193)&gt;1,"Duplicate client ID",IF(OR(B193="",C193="",E193="",I193="",J193="",K193=""),"Missing core fields",IF(AND(E193="Selected",OR(F193="",G193="",H193="")),"Missing sample evidence","Recorded"))))</x:f>
      </x:c>
      <x:c r="M193" s="9" t="str">
        <x:f>IF(A193="","",IF(E193&lt;&gt;"Selected","Not selected",IF(OR(COUNTIFS('Work queue'!$B$6:$B$205,A193,'Work queue'!$F$6:$F$205,"Support A")=0,COUNTIFS('Work queue'!$B$6:$B$205,A193,'Work queue'!$F$6:$F$205,"Support C")=0),"Check missing A/C tasks","A/C tasks exist")))</x:f>
      </x:c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 ht="23" customHeight="1">
      <x:c r="A194" s="8"/>
      <x:c r="B194" s="6"/>
      <x:c r="C194" s="7"/>
      <x:c r="D194" s="6"/>
      <x:c r="E194" s="6"/>
      <x:c r="F194" s="7"/>
      <x:c r="G194" s="6"/>
      <x:c r="H194" s="6"/>
      <x:c r="I194" s="6"/>
      <x:c r="J194" s="6"/>
      <x:c r="K194" s="7"/>
      <x:c r="L194" s="9" t="str">
        <x:f>IF(A194="","",IF(COUNTIFS($A$6:$A$205,A194)&gt;1,"Duplicate client ID",IF(OR(B194="",C194="",E194="",I194="",J194="",K194=""),"Missing core fields",IF(AND(E194="Selected",OR(F194="",G194="",H194="")),"Missing sample evidence","Recorded"))))</x:f>
      </x:c>
      <x:c r="M194" s="9" t="str">
        <x:f>IF(A194="","",IF(E194&lt;&gt;"Selected","Not selected",IF(OR(COUNTIFS('Work queue'!$B$6:$B$205,A194,'Work queue'!$F$6:$F$205,"Support A")=0,COUNTIFS('Work queue'!$B$6:$B$205,A194,'Work queue'!$F$6:$F$205,"Support C")=0),"Check missing A/C tasks","A/C tasks exist")))</x:f>
      </x:c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 ht="23" customHeight="1">
      <x:c r="A195" s="8"/>
      <x:c r="B195" s="6"/>
      <x:c r="C195" s="7"/>
      <x:c r="D195" s="6"/>
      <x:c r="E195" s="6"/>
      <x:c r="F195" s="7"/>
      <x:c r="G195" s="6"/>
      <x:c r="H195" s="6"/>
      <x:c r="I195" s="6"/>
      <x:c r="J195" s="6"/>
      <x:c r="K195" s="7"/>
      <x:c r="L195" s="9" t="str">
        <x:f>IF(A195="","",IF(COUNTIFS($A$6:$A$205,A195)&gt;1,"Duplicate client ID",IF(OR(B195="",C195="",E195="",I195="",J195="",K195=""),"Missing core fields",IF(AND(E195="Selected",OR(F195="",G195="",H195="")),"Missing sample evidence","Recorded"))))</x:f>
      </x:c>
      <x:c r="M195" s="9" t="str">
        <x:f>IF(A195="","",IF(E195&lt;&gt;"Selected","Not selected",IF(OR(COUNTIFS('Work queue'!$B$6:$B$205,A195,'Work queue'!$F$6:$F$205,"Support A")=0,COUNTIFS('Work queue'!$B$6:$B$205,A195,'Work queue'!$F$6:$F$205,"Support C")=0),"Check missing A/C tasks","A/C tasks exist")))</x:f>
      </x:c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 ht="23" customHeight="1">
      <x:c r="A196" s="8"/>
      <x:c r="B196" s="6"/>
      <x:c r="C196" s="7"/>
      <x:c r="D196" s="6"/>
      <x:c r="E196" s="6"/>
      <x:c r="F196" s="7"/>
      <x:c r="G196" s="6"/>
      <x:c r="H196" s="6"/>
      <x:c r="I196" s="6"/>
      <x:c r="J196" s="6"/>
      <x:c r="K196" s="7"/>
      <x:c r="L196" s="9" t="str">
        <x:f>IF(A196="","",IF(COUNTIFS($A$6:$A$205,A196)&gt;1,"Duplicate client ID",IF(OR(B196="",C196="",E196="",I196="",J196="",K196=""),"Missing core fields",IF(AND(E196="Selected",OR(F196="",G196="",H196="")),"Missing sample evidence","Recorded"))))</x:f>
      </x:c>
      <x:c r="M196" s="9" t="str">
        <x:f>IF(A196="","",IF(E196&lt;&gt;"Selected","Not selected",IF(OR(COUNTIFS('Work queue'!$B$6:$B$205,A196,'Work queue'!$F$6:$F$205,"Support A")=0,COUNTIFS('Work queue'!$B$6:$B$205,A196,'Work queue'!$F$6:$F$205,"Support C")=0),"Check missing A/C tasks","A/C tasks exist")))</x:f>
      </x:c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 ht="23" customHeight="1">
      <x:c r="A197" s="8"/>
      <x:c r="B197" s="6"/>
      <x:c r="C197" s="7"/>
      <x:c r="D197" s="6"/>
      <x:c r="E197" s="6"/>
      <x:c r="F197" s="7"/>
      <x:c r="G197" s="6"/>
      <x:c r="H197" s="6"/>
      <x:c r="I197" s="6"/>
      <x:c r="J197" s="6"/>
      <x:c r="K197" s="7"/>
      <x:c r="L197" s="9" t="str">
        <x:f>IF(A197="","",IF(COUNTIFS($A$6:$A$205,A197)&gt;1,"Duplicate client ID",IF(OR(B197="",C197="",E197="",I197="",J197="",K197=""),"Missing core fields",IF(AND(E197="Selected",OR(F197="",G197="",H197="")),"Missing sample evidence","Recorded"))))</x:f>
      </x:c>
      <x:c r="M197" s="9" t="str">
        <x:f>IF(A197="","",IF(E197&lt;&gt;"Selected","Not selected",IF(OR(COUNTIFS('Work queue'!$B$6:$B$205,A197,'Work queue'!$F$6:$F$205,"Support A")=0,COUNTIFS('Work queue'!$B$6:$B$205,A197,'Work queue'!$F$6:$F$205,"Support C")=0),"Check missing A/C tasks","A/C tasks exist")))</x:f>
      </x:c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 ht="23" customHeight="1">
      <x:c r="A198" s="8"/>
      <x:c r="B198" s="6"/>
      <x:c r="C198" s="7"/>
      <x:c r="D198" s="6"/>
      <x:c r="E198" s="6"/>
      <x:c r="F198" s="7"/>
      <x:c r="G198" s="6"/>
      <x:c r="H198" s="6"/>
      <x:c r="I198" s="6"/>
      <x:c r="J198" s="6"/>
      <x:c r="K198" s="7"/>
      <x:c r="L198" s="9" t="str">
        <x:f>IF(A198="","",IF(COUNTIFS($A$6:$A$205,A198)&gt;1,"Duplicate client ID",IF(OR(B198="",C198="",E198="",I198="",J198="",K198=""),"Missing core fields",IF(AND(E198="Selected",OR(F198="",G198="",H198="")),"Missing sample evidence","Recorded"))))</x:f>
      </x:c>
      <x:c r="M198" s="9" t="str">
        <x:f>IF(A198="","",IF(E198&lt;&gt;"Selected","Not selected",IF(OR(COUNTIFS('Work queue'!$B$6:$B$205,A198,'Work queue'!$F$6:$F$205,"Support A")=0,COUNTIFS('Work queue'!$B$6:$B$205,A198,'Work queue'!$F$6:$F$205,"Support C")=0),"Check missing A/C tasks","A/C tasks exist")))</x:f>
      </x:c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 ht="23" customHeight="1">
      <x:c r="A199" s="8"/>
      <x:c r="B199" s="6"/>
      <x:c r="C199" s="7"/>
      <x:c r="D199" s="6"/>
      <x:c r="E199" s="6"/>
      <x:c r="F199" s="7"/>
      <x:c r="G199" s="6"/>
      <x:c r="H199" s="6"/>
      <x:c r="I199" s="6"/>
      <x:c r="J199" s="6"/>
      <x:c r="K199" s="7"/>
      <x:c r="L199" s="9" t="str">
        <x:f>IF(A199="","",IF(COUNTIFS($A$6:$A$205,A199)&gt;1,"Duplicate client ID",IF(OR(B199="",C199="",E199="",I199="",J199="",K199=""),"Missing core fields",IF(AND(E199="Selected",OR(F199="",G199="",H199="")),"Missing sample evidence","Recorded"))))</x:f>
      </x:c>
      <x:c r="M199" s="9" t="str">
        <x:f>IF(A199="","",IF(E199&lt;&gt;"Selected","Not selected",IF(OR(COUNTIFS('Work queue'!$B$6:$B$205,A199,'Work queue'!$F$6:$F$205,"Support A")=0,COUNTIFS('Work queue'!$B$6:$B$205,A199,'Work queue'!$F$6:$F$205,"Support C")=0),"Check missing A/C tasks","A/C tasks exist")))</x:f>
      </x:c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 ht="23" customHeight="1">
      <x:c r="A200" s="8"/>
      <x:c r="B200" s="6"/>
      <x:c r="C200" s="7"/>
      <x:c r="D200" s="6"/>
      <x:c r="E200" s="6"/>
      <x:c r="F200" s="7"/>
      <x:c r="G200" s="6"/>
      <x:c r="H200" s="6"/>
      <x:c r="I200" s="6"/>
      <x:c r="J200" s="6"/>
      <x:c r="K200" s="7"/>
      <x:c r="L200" s="9" t="str">
        <x:f>IF(A200="","",IF(COUNTIFS($A$6:$A$205,A200)&gt;1,"Duplicate client ID",IF(OR(B200="",C200="",E200="",I200="",J200="",K200=""),"Missing core fields",IF(AND(E200="Selected",OR(F200="",G200="",H200="")),"Missing sample evidence","Recorded"))))</x:f>
      </x:c>
      <x:c r="M200" s="9" t="str">
        <x:f>IF(A200="","",IF(E200&lt;&gt;"Selected","Not selected",IF(OR(COUNTIFS('Work queue'!$B$6:$B$205,A200,'Work queue'!$F$6:$F$205,"Support A")=0,COUNTIFS('Work queue'!$B$6:$B$205,A200,'Work queue'!$F$6:$F$205,"Support C")=0),"Check missing A/C tasks","A/C tasks exist")))</x:f>
      </x:c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 ht="23" customHeight="1">
      <x:c r="A201" s="8"/>
      <x:c r="B201" s="6"/>
      <x:c r="C201" s="7"/>
      <x:c r="D201" s="6"/>
      <x:c r="E201" s="6"/>
      <x:c r="F201" s="7"/>
      <x:c r="G201" s="6"/>
      <x:c r="H201" s="6"/>
      <x:c r="I201" s="6"/>
      <x:c r="J201" s="6"/>
      <x:c r="K201" s="7"/>
      <x:c r="L201" s="9" t="str">
        <x:f>IF(A201="","",IF(COUNTIFS($A$6:$A$205,A201)&gt;1,"Duplicate client ID",IF(OR(B201="",C201="",E201="",I201="",J201="",K201=""),"Missing core fields",IF(AND(E201="Selected",OR(F201="",G201="",H201="")),"Missing sample evidence","Recorded"))))</x:f>
      </x:c>
      <x:c r="M201" s="9" t="str">
        <x:f>IF(A201="","",IF(E201&lt;&gt;"Selected","Not selected",IF(OR(COUNTIFS('Work queue'!$B$6:$B$205,A201,'Work queue'!$F$6:$F$205,"Support A")=0,COUNTIFS('Work queue'!$B$6:$B$205,A201,'Work queue'!$F$6:$F$205,"Support C")=0),"Check missing A/C tasks","A/C tasks exist")))</x:f>
      </x:c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 ht="23" customHeight="1">
      <x:c r="A202" s="8"/>
      <x:c r="B202" s="6"/>
      <x:c r="C202" s="7"/>
      <x:c r="D202" s="6"/>
      <x:c r="E202" s="6"/>
      <x:c r="F202" s="7"/>
      <x:c r="G202" s="6"/>
      <x:c r="H202" s="6"/>
      <x:c r="I202" s="6"/>
      <x:c r="J202" s="6"/>
      <x:c r="K202" s="7"/>
      <x:c r="L202" s="9" t="str">
        <x:f>IF(A202="","",IF(COUNTIFS($A$6:$A$205,A202)&gt;1,"Duplicate client ID",IF(OR(B202="",C202="",E202="",I202="",J202="",K202=""),"Missing core fields",IF(AND(E202="Selected",OR(F202="",G202="",H202="")),"Missing sample evidence","Recorded"))))</x:f>
      </x:c>
      <x:c r="M202" s="9" t="str">
        <x:f>IF(A202="","",IF(E202&lt;&gt;"Selected","Not selected",IF(OR(COUNTIFS('Work queue'!$B$6:$B$205,A202,'Work queue'!$F$6:$F$205,"Support A")=0,COUNTIFS('Work queue'!$B$6:$B$205,A202,'Work queue'!$F$6:$F$205,"Support C")=0),"Check missing A/C tasks","A/C tasks exist")))</x:f>
      </x:c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 ht="23" customHeight="1">
      <x:c r="A203" s="8"/>
      <x:c r="B203" s="6"/>
      <x:c r="C203" s="7"/>
      <x:c r="D203" s="6"/>
      <x:c r="E203" s="6"/>
      <x:c r="F203" s="7"/>
      <x:c r="G203" s="6"/>
      <x:c r="H203" s="6"/>
      <x:c r="I203" s="6"/>
      <x:c r="J203" s="6"/>
      <x:c r="K203" s="7"/>
      <x:c r="L203" s="9" t="str">
        <x:f>IF(A203="","",IF(COUNTIFS($A$6:$A$205,A203)&gt;1,"Duplicate client ID",IF(OR(B203="",C203="",E203="",I203="",J203="",K203=""),"Missing core fields",IF(AND(E203="Selected",OR(F203="",G203="",H203="")),"Missing sample evidence","Recorded"))))</x:f>
      </x:c>
      <x:c r="M203" s="9" t="str">
        <x:f>IF(A203="","",IF(E203&lt;&gt;"Selected","Not selected",IF(OR(COUNTIFS('Work queue'!$B$6:$B$205,A203,'Work queue'!$F$6:$F$205,"Support A")=0,COUNTIFS('Work queue'!$B$6:$B$205,A203,'Work queue'!$F$6:$F$205,"Support C")=0),"Check missing A/C tasks","A/C tasks exist")))</x:f>
      </x:c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 ht="23" customHeight="1">
      <x:c r="A204" s="8"/>
      <x:c r="B204" s="6"/>
      <x:c r="C204" s="7"/>
      <x:c r="D204" s="6"/>
      <x:c r="E204" s="6"/>
      <x:c r="F204" s="7"/>
      <x:c r="G204" s="6"/>
      <x:c r="H204" s="6"/>
      <x:c r="I204" s="6"/>
      <x:c r="J204" s="6"/>
      <x:c r="K204" s="7"/>
      <x:c r="L204" s="9" t="str">
        <x:f>IF(A204="","",IF(COUNTIFS($A$6:$A$205,A204)&gt;1,"Duplicate client ID",IF(OR(B204="",C204="",E204="",I204="",J204="",K204=""),"Missing core fields",IF(AND(E204="Selected",OR(F204="",G204="",H204="")),"Missing sample evidence","Recorded"))))</x:f>
      </x:c>
      <x:c r="M204" s="9" t="str">
        <x:f>IF(A204="","",IF(E204&lt;&gt;"Selected","Not selected",IF(OR(COUNTIFS('Work queue'!$B$6:$B$205,A204,'Work queue'!$F$6:$F$205,"Support A")=0,COUNTIFS('Work queue'!$B$6:$B$205,A204,'Work queue'!$F$6:$F$205,"Support C")=0),"Check missing A/C tasks","A/C tasks exist")))</x:f>
      </x:c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 ht="23" customHeight="1">
      <x:c r="A205" s="8"/>
      <x:c r="B205" s="6"/>
      <x:c r="C205" s="7"/>
      <x:c r="D205" s="6"/>
      <x:c r="E205" s="6"/>
      <x:c r="F205" s="7"/>
      <x:c r="G205" s="6"/>
      <x:c r="H205" s="6"/>
      <x:c r="I205" s="6"/>
      <x:c r="J205" s="6"/>
      <x:c r="K205" s="7"/>
      <x:c r="L205" s="9" t="str">
        <x:f>IF(A205="","",IF(COUNTIFS($A$6:$A$205,A205)&gt;1,"Duplicate client ID",IF(OR(B205="",C205="",E205="",I205="",J205="",K205=""),"Missing core fields",IF(AND(E205="Selected",OR(F205="",G205="",H205="")),"Missing sample evidence","Recorded"))))</x:f>
      </x:c>
      <x:c r="M205" s="9" t="str">
        <x:f>IF(A205="","",IF(E205&lt;&gt;"Selected","Not selected",IF(OR(COUNTIFS('Work queue'!$B$6:$B$205,A205,'Work queue'!$F$6:$F$205,"Support A")=0,COUNTIFS('Work queue'!$B$6:$B$205,A205,'Work queue'!$F$6:$F$205,"Support C")=0),"Check missing A/C tasks","A/C tasks exist")))</x:f>
      </x:c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</x:sheetData>
  <x:conditionalFormatting sqref="L6:L205">
    <x:cfRule type="containsText" dxfId="0" priority="1" operator="containsText" text="Missing"/>
    <x:cfRule type="containsText" dxfId="1" priority="2" operator="containsText" text="Duplicate"/>
  </x:conditionalFormatting>
  <x:conditionalFormatting sqref="M6:M205">
    <x:cfRule type="containsText" dxfId="18" priority="3" operator="containsText" text="missing"/>
  </x:conditionalFormatting>
  <x:dataValidations count="2">
    <x:dataValidation type="list" sqref="E6:E205">
      <x:formula1>"Selected,Not selected,Pending review"</x:formula1>
    </x:dataValidation>
    <x:dataValidation type="list" sqref="H6:H205">
      <x:formula1>"Visible,Not visible,Not 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4dadf84ee04d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4" hidden="0" customWidth="1"/>
    <x:col min="11" max="11" width="26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4" hidden="0" customWidth="1"/>
    <x:col min="18" max="18" width="20" hidden="0" customWidth="1"/>
    <x:col min="19" max="19" width="26" hidden="0" customWidth="1"/>
    <x:col min="20" max="20" width="34" hidden="0" customWidth="1"/>
    <x:col min="21" max="21" width="26" hidden="0" customWidth="1"/>
    <x:col min="22" max="22" width="20" hidden="0" customWidth="1"/>
    <x:col min="23" max="23" width="34" hidden="0" customWidth="1"/>
    <x:col min="24" max="24" width="20" hidden="0" customWidth="1"/>
    <x:col min="25" max="25" width="26" hidden="0" customWidth="1"/>
    <x:col min="26" max="26" width="26" hidden="0" customWidth="1"/>
    <x:col min="27" max="27" width="26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3" customHeight="1">
      <x:c r="A2" s="2" t="str">
        <x:v>Collection and submission work queue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3" customHeight="1">
      <x:c r="A3" s="1" t="str">
        <x:v>One row per client + cycle anchor + instrument. Filter Due view and Handoff view. Blue-gray columns calculate; cream columns accept input.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44" customHeight="1">
      <x:c r="A5" s="5" t="str">
        <x:v>Task ID</x:v>
      </x:c>
      <x:c r="B5" s="5" t="str">
        <x:v>Client ID</x:v>
      </x:c>
      <x:c r="C5" s="5" t="str">
        <x:v>Site (lookup)</x:v>
      </x:c>
      <x:c r="D5" s="5" t="str">
        <x:v>Cycle</x:v>
      </x:c>
      <x:c r="E5" s="5" t="str">
        <x:v>Cycle anchor date</x:v>
      </x:c>
      <x:c r="F5" s="5" t="str">
        <x:v>Instrument</x:v>
      </x:c>
      <x:c r="G5" s="5" t="str">
        <x:v>Version</x:v>
      </x:c>
      <x:c r="H5" s="5" t="str">
        <x:v>Owner / receiver</x:v>
      </x:c>
      <x:c r="I5" s="5" t="str">
        <x:v>Due date</x:v>
      </x:c>
      <x:c r="J5" s="5" t="str">
        <x:v>Due date authority</x:v>
      </x:c>
      <x:c r="K5" s="5" t="str">
        <x:v>Collection status</x:v>
      </x:c>
      <x:c r="L5" s="5" t="str">
        <x:v>Sent date</x:v>
      </x:c>
      <x:c r="M5" s="5" t="str">
        <x:v>Acknowledged date</x:v>
      </x:c>
      <x:c r="N5" s="5" t="str">
        <x:v>Offered date</x:v>
      </x:c>
      <x:c r="O5" s="5" t="str">
        <x:v>Received / completed date</x:v>
      </x:c>
      <x:c r="P5" s="5" t="str">
        <x:v>Last contact date</x:v>
      </x:c>
      <x:c r="Q5" s="5" t="str">
        <x:v>Next action</x:v>
      </x:c>
      <x:c r="R5" s="5" t="str">
        <x:v>Next action date</x:v>
      </x:c>
      <x:c r="S5" s="5" t="str">
        <x:v>Source review</x:v>
      </x:c>
      <x:c r="T5" s="5" t="str">
        <x:v>Source evidence / batch</x:v>
      </x:c>
      <x:c r="U5" s="5" t="str">
        <x:v>SPARS status</x:v>
      </x:c>
      <x:c r="V5" s="5" t="str">
        <x:v>SPARS receipt date</x:v>
      </x:c>
      <x:c r="W5" s="5" t="str">
        <x:v>SPARS evidence / exception</x:v>
      </x:c>
      <x:c r="X5" s="5" t="str">
        <x:v>Last verified</x:v>
      </x:c>
      <x:c r="Y5" s="5" t="str">
        <x:v>Due view</x:v>
      </x:c>
      <x:c r="Z5" s="5" t="str">
        <x:v>Handoff view</x:v>
      </x:c>
      <x:c r="AA5" s="5" t="str">
        <x:v>Record check</x:v>
      </x:c>
      <x:c r="AB5" s="5" t="str">
        <x:v>Period cohort</x:v>
      </x:c>
      <x:c r="AC5" s="5" t="str">
        <x:v>Receipt indicator</x:v>
      </x:c>
      <x:c r="AD5" s="5" t="str">
        <x:v>SPARS verified indicator</x:v>
      </x:c>
      <x:c r="AE5" s="1"/>
      <x:c r="AF5" s="1"/>
      <x:c r="AG5" s="1"/>
      <x:c r="AH5" s="1"/>
    </x:row>
    <x:row r="6" ht="23" customHeight="1">
      <x:c r="A6" s="8"/>
      <x:c r="B6" s="8"/>
      <x:c r="C6" s="9" t="str">
        <x:f>IF(B6="","",IF(COUNTIFS('Roster'!$A$6:$A$205,B6)&lt;&gt;1,"Check roster",IF(INDEX('Roster'!$B$6:$B$205,MATCH(B6,'Roster'!$A$6:$A$205,0))="","Site missing",INDEX('Roster'!$B$6:$B$205,MATCH(B6,'Roster'!$A$6:$A$205,0)))))</x:f>
      </x:c>
      <x:c r="D6" s="6"/>
      <x:c r="E6" s="7"/>
      <x:c r="F6" s="6"/>
      <x:c r="G6" s="6"/>
      <x:c r="H6" s="6"/>
      <x:c r="I6" s="7"/>
      <x:c r="J6" s="6"/>
      <x:c r="K6" s="6"/>
      <x:c r="L6" s="7"/>
      <x:c r="M6" s="7"/>
      <x:c r="N6" s="7"/>
      <x:c r="O6" s="7"/>
      <x:c r="P6" s="7"/>
      <x:c r="Q6" s="6"/>
      <x:c r="R6" s="7"/>
      <x:c r="S6" s="6"/>
      <x:c r="T6" s="6"/>
      <x:c r="U6" s="6"/>
      <x:c r="V6" s="7"/>
      <x:c r="W6" s="6"/>
      <x:c r="X6" s="7"/>
      <x:c r="Y6" s="9" t="str">
        <x:f>IF(A6="","",IF(OR(K6="Complete",K6="Declined",K6="Closed without data"),"Collection closed",IF(OR(I6="",J6=""),"Date unverified",IF(I6&lt;'Dashboard'!$B$4,"Overdue",IF(I6&lt;='Dashboard'!$B$4+'Dashboard'!$B$5,"Due soon","Later")))))</x:f>
      </x:c>
      <x:c r="Z6" s="9" t="str">
        <x:f>IF(A6="","",IF(H6="","Unassigned",IF(AND(L6&lt;&gt;"",M6=""),"Awaiting acknowledgement",IF(AND(R6&lt;&gt;"",R6&lt;'Dashboard'!$B$4),"Action date passed",IF(AND(OR(K6="Not started",K6="In progress",K6="Awaiting return",K6="Received partial",K6="Unable to reach"),OR(Q6="",R6="")),"Next action missing","No handoff flag")))))</x:f>
      </x:c>
      <x:c r="AA6" s="9" t="str">
        <x:f>IF(A6="","",IF(COUNTIFS($A$6:$A$205,A6)&gt;1,"Duplicate task ID",IF(COUNTIFS($B$6:$B$205,B6,$D$6:$D$205,D6,$E$6:$E$205,E6,$F$6:$F$205,F6)&gt;1,"Duplicate cycle/instrument",IF(OR(B6="",C6="Check roster",C6="Site missing",D6="",E6="",F6="",G6="",G6="Needs verification",K6="",S6="",U6="",X6=""),"Missing core fields",IF(AND(OR(K6="Complete",K6="Received partial"),O6=""),"Missing completion date",IF(AND(U6="Verified submitted",OR(V6="",W6="",S6&lt;&gt;"Verified")),"Submission evidence gap",IF(AND(S6="Verified",T6=""),"Source evidence gap","Recorded")))))))</x:f>
      </x:c>
      <x:c r="AB6" s="9" t="str">
        <x:f>IF(A6="","",IF(OR(I6="",J6=""),"Undated",IF(AND(I6&gt;='Dashboard'!$B$6,I6&lt;='Dashboard'!$B$7),"In period","Outside period")))</x:f>
      </x:c>
      <x:c r="AC6" s="9" t="str">
        <x:f>IF(A6="","",IF(AND(OR(K6="Complete",K6="Received partial"),O6&lt;&gt;"",O6&lt;='Dashboard'!$B$4),1,0))</x:f>
      </x:c>
      <x:c r="AD6" s="9" t="str">
        <x:f>IF(A6="","",IF(AND(U6="Verified submitted",V6&lt;&gt;"",V6&lt;='Dashboard'!$B$4,W6&lt;&gt;"",S6="Verified",T6&lt;&gt;""),1,0))</x:f>
      </x:c>
      <x:c r="AE6" s="1"/>
      <x:c r="AF6" s="1"/>
      <x:c r="AG6" s="1"/>
      <x:c r="AH6" s="1"/>
    </x:row>
    <x:row r="7" ht="23" customHeight="1">
      <x:c r="A7" s="8"/>
      <x:c r="B7" s="8"/>
      <x:c r="C7" s="9" t="str">
        <x:f>IF(B7="","",IF(COUNTIFS('Roster'!$A$6:$A$205,B7)&lt;&gt;1,"Check roster",IF(INDEX('Roster'!$B$6:$B$205,MATCH(B7,'Roster'!$A$6:$A$205,0))="","Site missing",INDEX('Roster'!$B$6:$B$205,MATCH(B7,'Roster'!$A$6:$A$205,0)))))</x:f>
      </x:c>
      <x:c r="D7" s="6"/>
      <x:c r="E7" s="7"/>
      <x:c r="F7" s="6"/>
      <x:c r="G7" s="6"/>
      <x:c r="H7" s="6"/>
      <x:c r="I7" s="7"/>
      <x:c r="J7" s="6"/>
      <x:c r="K7" s="6"/>
      <x:c r="L7" s="7"/>
      <x:c r="M7" s="7"/>
      <x:c r="N7" s="7"/>
      <x:c r="O7" s="7"/>
      <x:c r="P7" s="7"/>
      <x:c r="Q7" s="6"/>
      <x:c r="R7" s="7"/>
      <x:c r="S7" s="6"/>
      <x:c r="T7" s="6"/>
      <x:c r="U7" s="6"/>
      <x:c r="V7" s="7"/>
      <x:c r="W7" s="6"/>
      <x:c r="X7" s="7"/>
      <x:c r="Y7" s="9" t="str">
        <x:f>IF(A7="","",IF(OR(K7="Complete",K7="Declined",K7="Closed without data"),"Collection closed",IF(OR(I7="",J7=""),"Date unverified",IF(I7&lt;'Dashboard'!$B$4,"Overdue",IF(I7&lt;='Dashboard'!$B$4+'Dashboard'!$B$5,"Due soon","Later")))))</x:f>
      </x:c>
      <x:c r="Z7" s="9" t="str">
        <x:f>IF(A7="","",IF(H7="","Unassigned",IF(AND(L7&lt;&gt;"",M7=""),"Awaiting acknowledgement",IF(AND(R7&lt;&gt;"",R7&lt;'Dashboard'!$B$4),"Action date passed",IF(AND(OR(K7="Not started",K7="In progress",K7="Awaiting return",K7="Received partial",K7="Unable to reach"),OR(Q7="",R7="")),"Next action missing","No handoff flag")))))</x:f>
      </x:c>
      <x:c r="AA7" s="9" t="str">
        <x:f>IF(A7="","",IF(COUNTIFS($A$6:$A$205,A7)&gt;1,"Duplicate task ID",IF(COUNTIFS($B$6:$B$205,B7,$D$6:$D$205,D7,$E$6:$E$205,E7,$F$6:$F$205,F7)&gt;1,"Duplicate cycle/instrument",IF(OR(B7="",C7="Check roster",C7="Site missing",D7="",E7="",F7="",G7="",G7="Needs verification",K7="",S7="",U7="",X7=""),"Missing core fields",IF(AND(OR(K7="Complete",K7="Received partial"),O7=""),"Missing completion date",IF(AND(U7="Verified submitted",OR(V7="",W7="",S7&lt;&gt;"Verified")),"Submission evidence gap",IF(AND(S7="Verified",T7=""),"Source evidence gap","Recorded")))))))</x:f>
      </x:c>
      <x:c r="AB7" s="9" t="str">
        <x:f>IF(A7="","",IF(OR(I7="",J7=""),"Undated",IF(AND(I7&gt;='Dashboard'!$B$6,I7&lt;='Dashboard'!$B$7),"In period","Outside period")))</x:f>
      </x:c>
      <x:c r="AC7" s="9" t="str">
        <x:f>IF(A7="","",IF(AND(OR(K7="Complete",K7="Received partial"),O7&lt;&gt;"",O7&lt;='Dashboard'!$B$4),1,0))</x:f>
      </x:c>
      <x:c r="AD7" s="9" t="str">
        <x:f>IF(A7="","",IF(AND(U7="Verified submitted",V7&lt;&gt;"",V7&lt;='Dashboard'!$B$4,W7&lt;&gt;"",S7="Verified",T7&lt;&gt;""),1,0))</x:f>
      </x:c>
      <x:c r="AE7" s="1"/>
      <x:c r="AF7" s="1"/>
      <x:c r="AG7" s="1"/>
      <x:c r="AH7" s="1"/>
    </x:row>
    <x:row r="8" ht="23" customHeight="1">
      <x:c r="A8" s="8"/>
      <x:c r="B8" s="8"/>
      <x:c r="C8" s="9" t="str">
        <x:f>IF(B8="","",IF(COUNTIFS('Roster'!$A$6:$A$205,B8)&lt;&gt;1,"Check roster",IF(INDEX('Roster'!$B$6:$B$205,MATCH(B8,'Roster'!$A$6:$A$205,0))="","Site missing",INDEX('Roster'!$B$6:$B$205,MATCH(B8,'Roster'!$A$6:$A$205,0)))))</x:f>
      </x:c>
      <x:c r="D8" s="6"/>
      <x:c r="E8" s="7"/>
      <x:c r="F8" s="6"/>
      <x:c r="G8" s="6"/>
      <x:c r="H8" s="6"/>
      <x:c r="I8" s="7"/>
      <x:c r="J8" s="6"/>
      <x:c r="K8" s="6"/>
      <x:c r="L8" s="7"/>
      <x:c r="M8" s="7"/>
      <x:c r="N8" s="7"/>
      <x:c r="O8" s="7"/>
      <x:c r="P8" s="7"/>
      <x:c r="Q8" s="6"/>
      <x:c r="R8" s="7"/>
      <x:c r="S8" s="6"/>
      <x:c r="T8" s="6"/>
      <x:c r="U8" s="6"/>
      <x:c r="V8" s="7"/>
      <x:c r="W8" s="6"/>
      <x:c r="X8" s="7"/>
      <x:c r="Y8" s="9" t="str">
        <x:f>IF(A8="","",IF(OR(K8="Complete",K8="Declined",K8="Closed without data"),"Collection closed",IF(OR(I8="",J8=""),"Date unverified",IF(I8&lt;'Dashboard'!$B$4,"Overdue",IF(I8&lt;='Dashboard'!$B$4+'Dashboard'!$B$5,"Due soon","Later")))))</x:f>
      </x:c>
      <x:c r="Z8" s="9" t="str">
        <x:f>IF(A8="","",IF(H8="","Unassigned",IF(AND(L8&lt;&gt;"",M8=""),"Awaiting acknowledgement",IF(AND(R8&lt;&gt;"",R8&lt;'Dashboard'!$B$4),"Action date passed",IF(AND(OR(K8="Not started",K8="In progress",K8="Awaiting return",K8="Received partial",K8="Unable to reach"),OR(Q8="",R8="")),"Next action missing","No handoff flag")))))</x:f>
      </x:c>
      <x:c r="AA8" s="9" t="str">
        <x:f>IF(A8="","",IF(COUNTIFS($A$6:$A$205,A8)&gt;1,"Duplicate task ID",IF(COUNTIFS($B$6:$B$205,B8,$D$6:$D$205,D8,$E$6:$E$205,E8,$F$6:$F$205,F8)&gt;1,"Duplicate cycle/instrument",IF(OR(B8="",C8="Check roster",C8="Site missing",D8="",E8="",F8="",G8="",G8="Needs verification",K8="",S8="",U8="",X8=""),"Missing core fields",IF(AND(OR(K8="Complete",K8="Received partial"),O8=""),"Missing completion date",IF(AND(U8="Verified submitted",OR(V8="",W8="",S8&lt;&gt;"Verified")),"Submission evidence gap",IF(AND(S8="Verified",T8=""),"Source evidence gap","Recorded")))))))</x:f>
      </x:c>
      <x:c r="AB8" s="9" t="str">
        <x:f>IF(A8="","",IF(OR(I8="",J8=""),"Undated",IF(AND(I8&gt;='Dashboard'!$B$6,I8&lt;='Dashboard'!$B$7),"In period","Outside period")))</x:f>
      </x:c>
      <x:c r="AC8" s="9" t="str">
        <x:f>IF(A8="","",IF(AND(OR(K8="Complete",K8="Received partial"),O8&lt;&gt;"",O8&lt;='Dashboard'!$B$4),1,0))</x:f>
      </x:c>
      <x:c r="AD8" s="9" t="str">
        <x:f>IF(A8="","",IF(AND(U8="Verified submitted",V8&lt;&gt;"",V8&lt;='Dashboard'!$B$4,W8&lt;&gt;"",S8="Verified",T8&lt;&gt;""),1,0))</x:f>
      </x:c>
      <x:c r="AE8" s="1"/>
      <x:c r="AF8" s="1"/>
      <x:c r="AG8" s="1"/>
      <x:c r="AH8" s="1"/>
    </x:row>
    <x:row r="9" ht="23" customHeight="1">
      <x:c r="A9" s="8"/>
      <x:c r="B9" s="8"/>
      <x:c r="C9" s="9" t="str">
        <x:f>IF(B9="","",IF(COUNTIFS('Roster'!$A$6:$A$205,B9)&lt;&gt;1,"Check roster",IF(INDEX('Roster'!$B$6:$B$205,MATCH(B9,'Roster'!$A$6:$A$205,0))="","Site missing",INDEX('Roster'!$B$6:$B$205,MATCH(B9,'Roster'!$A$6:$A$205,0)))))</x:f>
      </x:c>
      <x:c r="D9" s="6"/>
      <x:c r="E9" s="7"/>
      <x:c r="F9" s="6"/>
      <x:c r="G9" s="6"/>
      <x:c r="H9" s="6"/>
      <x:c r="I9" s="7"/>
      <x:c r="J9" s="6"/>
      <x:c r="K9" s="6"/>
      <x:c r="L9" s="7"/>
      <x:c r="M9" s="7"/>
      <x:c r="N9" s="7"/>
      <x:c r="O9" s="7"/>
      <x:c r="P9" s="7"/>
      <x:c r="Q9" s="6"/>
      <x:c r="R9" s="7"/>
      <x:c r="S9" s="6"/>
      <x:c r="T9" s="6"/>
      <x:c r="U9" s="6"/>
      <x:c r="V9" s="7"/>
      <x:c r="W9" s="6"/>
      <x:c r="X9" s="7"/>
      <x:c r="Y9" s="9" t="str">
        <x:f>IF(A9="","",IF(OR(K9="Complete",K9="Declined",K9="Closed without data"),"Collection closed",IF(OR(I9="",J9=""),"Date unverified",IF(I9&lt;'Dashboard'!$B$4,"Overdue",IF(I9&lt;='Dashboard'!$B$4+'Dashboard'!$B$5,"Due soon","Later")))))</x:f>
      </x:c>
      <x:c r="Z9" s="9" t="str">
        <x:f>IF(A9="","",IF(H9="","Unassigned",IF(AND(L9&lt;&gt;"",M9=""),"Awaiting acknowledgement",IF(AND(R9&lt;&gt;"",R9&lt;'Dashboard'!$B$4),"Action date passed",IF(AND(OR(K9="Not started",K9="In progress",K9="Awaiting return",K9="Received partial",K9="Unable to reach"),OR(Q9="",R9="")),"Next action missing","No handoff flag")))))</x:f>
      </x:c>
      <x:c r="AA9" s="9" t="str">
        <x:f>IF(A9="","",IF(COUNTIFS($A$6:$A$205,A9)&gt;1,"Duplicate task ID",IF(COUNTIFS($B$6:$B$205,B9,$D$6:$D$205,D9,$E$6:$E$205,E9,$F$6:$F$205,F9)&gt;1,"Duplicate cycle/instrument",IF(OR(B9="",C9="Check roster",C9="Site missing",D9="",E9="",F9="",G9="",G9="Needs verification",K9="",S9="",U9="",X9=""),"Missing core fields",IF(AND(OR(K9="Complete",K9="Received partial"),O9=""),"Missing completion date",IF(AND(U9="Verified submitted",OR(V9="",W9="",S9&lt;&gt;"Verified")),"Submission evidence gap",IF(AND(S9="Verified",T9=""),"Source evidence gap","Recorded")))))))</x:f>
      </x:c>
      <x:c r="AB9" s="9" t="str">
        <x:f>IF(A9="","",IF(OR(I9="",J9=""),"Undated",IF(AND(I9&gt;='Dashboard'!$B$6,I9&lt;='Dashboard'!$B$7),"In period","Outside period")))</x:f>
      </x:c>
      <x:c r="AC9" s="9" t="str">
        <x:f>IF(A9="","",IF(AND(OR(K9="Complete",K9="Received partial"),O9&lt;&gt;"",O9&lt;='Dashboard'!$B$4),1,0))</x:f>
      </x:c>
      <x:c r="AD9" s="9" t="str">
        <x:f>IF(A9="","",IF(AND(U9="Verified submitted",V9&lt;&gt;"",V9&lt;='Dashboard'!$B$4,W9&lt;&gt;"",S9="Verified",T9&lt;&gt;""),1,0))</x:f>
      </x:c>
      <x:c r="AE9" s="1"/>
      <x:c r="AF9" s="1"/>
      <x:c r="AG9" s="1"/>
      <x:c r="AH9" s="1"/>
    </x:row>
    <x:row r="10" ht="23" customHeight="1">
      <x:c r="A10" s="8"/>
      <x:c r="B10" s="8"/>
      <x:c r="C10" s="9" t="str">
        <x:f>IF(B10="","",IF(COUNTIFS('Roster'!$A$6:$A$205,B10)&lt;&gt;1,"Check roster",IF(INDEX('Roster'!$B$6:$B$205,MATCH(B10,'Roster'!$A$6:$A$205,0))="","Site missing",INDEX('Roster'!$B$6:$B$205,MATCH(B10,'Roster'!$A$6:$A$205,0)))))</x:f>
      </x:c>
      <x:c r="D10" s="6"/>
      <x:c r="E10" s="7"/>
      <x:c r="F10" s="6"/>
      <x:c r="G10" s="6"/>
      <x:c r="H10" s="6"/>
      <x:c r="I10" s="7"/>
      <x:c r="J10" s="6"/>
      <x:c r="K10" s="6"/>
      <x:c r="L10" s="7"/>
      <x:c r="M10" s="7"/>
      <x:c r="N10" s="7"/>
      <x:c r="O10" s="7"/>
      <x:c r="P10" s="7"/>
      <x:c r="Q10" s="6"/>
      <x:c r="R10" s="7"/>
      <x:c r="S10" s="6"/>
      <x:c r="T10" s="6"/>
      <x:c r="U10" s="6"/>
      <x:c r="V10" s="7"/>
      <x:c r="W10" s="6"/>
      <x:c r="X10" s="7"/>
      <x:c r="Y10" s="9" t="str">
        <x:f>IF(A10="","",IF(OR(K10="Complete",K10="Declined",K10="Closed without data"),"Collection closed",IF(OR(I10="",J10=""),"Date unverified",IF(I10&lt;'Dashboard'!$B$4,"Overdue",IF(I10&lt;='Dashboard'!$B$4+'Dashboard'!$B$5,"Due soon","Later")))))</x:f>
      </x:c>
      <x:c r="Z10" s="9" t="str">
        <x:f>IF(A10="","",IF(H10="","Unassigned",IF(AND(L10&lt;&gt;"",M10=""),"Awaiting acknowledgement",IF(AND(R10&lt;&gt;"",R10&lt;'Dashboard'!$B$4),"Action date passed",IF(AND(OR(K10="Not started",K10="In progress",K10="Awaiting return",K10="Received partial",K10="Unable to reach"),OR(Q10="",R10="")),"Next action missing","No handoff flag")))))</x:f>
      </x:c>
      <x:c r="AA10" s="9" t="str">
        <x:f>IF(A10="","",IF(COUNTIFS($A$6:$A$205,A10)&gt;1,"Duplicate task ID",IF(COUNTIFS($B$6:$B$205,B10,$D$6:$D$205,D10,$E$6:$E$205,E10,$F$6:$F$205,F10)&gt;1,"Duplicate cycle/instrument",IF(OR(B10="",C10="Check roster",C10="Site missing",D10="",E10="",F10="",G10="",G10="Needs verification",K10="",S10="",U10="",X10=""),"Missing core fields",IF(AND(OR(K10="Complete",K10="Received partial"),O10=""),"Missing completion date",IF(AND(U10="Verified submitted",OR(V10="",W10="",S10&lt;&gt;"Verified")),"Submission evidence gap",IF(AND(S10="Verified",T10=""),"Source evidence gap","Recorded")))))))</x:f>
      </x:c>
      <x:c r="AB10" s="9" t="str">
        <x:f>IF(A10="","",IF(OR(I10="",J10=""),"Undated",IF(AND(I10&gt;='Dashboard'!$B$6,I10&lt;='Dashboard'!$B$7),"In period","Outside period")))</x:f>
      </x:c>
      <x:c r="AC10" s="9" t="str">
        <x:f>IF(A10="","",IF(AND(OR(K10="Complete",K10="Received partial"),O10&lt;&gt;"",O10&lt;='Dashboard'!$B$4),1,0))</x:f>
      </x:c>
      <x:c r="AD10" s="9" t="str">
        <x:f>IF(A10="","",IF(AND(U10="Verified submitted",V10&lt;&gt;"",V10&lt;='Dashboard'!$B$4,W10&lt;&gt;"",S10="Verified",T10&lt;&gt;""),1,0))</x:f>
      </x:c>
      <x:c r="AE10" s="1"/>
      <x:c r="AF10" s="1"/>
      <x:c r="AG10" s="1"/>
      <x:c r="AH10" s="1"/>
    </x:row>
    <x:row r="11" ht="23" customHeight="1">
      <x:c r="A11" s="8"/>
      <x:c r="B11" s="8"/>
      <x:c r="C11" s="9" t="str">
        <x:f>IF(B11="","",IF(COUNTIFS('Roster'!$A$6:$A$205,B11)&lt;&gt;1,"Check roster",IF(INDEX('Roster'!$B$6:$B$205,MATCH(B11,'Roster'!$A$6:$A$205,0))="","Site missing",INDEX('Roster'!$B$6:$B$205,MATCH(B11,'Roster'!$A$6:$A$205,0)))))</x:f>
      </x:c>
      <x:c r="D11" s="6"/>
      <x:c r="E11" s="7"/>
      <x:c r="F11" s="6"/>
      <x:c r="G11" s="6"/>
      <x:c r="H11" s="6"/>
      <x:c r="I11" s="7"/>
      <x:c r="J11" s="6"/>
      <x:c r="K11" s="6"/>
      <x:c r="L11" s="7"/>
      <x:c r="M11" s="7"/>
      <x:c r="N11" s="7"/>
      <x:c r="O11" s="7"/>
      <x:c r="P11" s="7"/>
      <x:c r="Q11" s="6"/>
      <x:c r="R11" s="7"/>
      <x:c r="S11" s="6"/>
      <x:c r="T11" s="6"/>
      <x:c r="U11" s="6"/>
      <x:c r="V11" s="7"/>
      <x:c r="W11" s="6"/>
      <x:c r="X11" s="7"/>
      <x:c r="Y11" s="9" t="str">
        <x:f>IF(A11="","",IF(OR(K11="Complete",K11="Declined",K11="Closed without data"),"Collection closed",IF(OR(I11="",J11=""),"Date unverified",IF(I11&lt;'Dashboard'!$B$4,"Overdue",IF(I11&lt;='Dashboard'!$B$4+'Dashboard'!$B$5,"Due soon","Later")))))</x:f>
      </x:c>
      <x:c r="Z11" s="9" t="str">
        <x:f>IF(A11="","",IF(H11="","Unassigned",IF(AND(L11&lt;&gt;"",M11=""),"Awaiting acknowledgement",IF(AND(R11&lt;&gt;"",R11&lt;'Dashboard'!$B$4),"Action date passed",IF(AND(OR(K11="Not started",K11="In progress",K11="Awaiting return",K11="Received partial",K11="Unable to reach"),OR(Q11="",R11="")),"Next action missing","No handoff flag")))))</x:f>
      </x:c>
      <x:c r="AA11" s="9" t="str">
        <x:f>IF(A11="","",IF(COUNTIFS($A$6:$A$205,A11)&gt;1,"Duplicate task ID",IF(COUNTIFS($B$6:$B$205,B11,$D$6:$D$205,D11,$E$6:$E$205,E11,$F$6:$F$205,F11)&gt;1,"Duplicate cycle/instrument",IF(OR(B11="",C11="Check roster",C11="Site missing",D11="",E11="",F11="",G11="",G11="Needs verification",K11="",S11="",U11="",X11=""),"Missing core fields",IF(AND(OR(K11="Complete",K11="Received partial"),O11=""),"Missing completion date",IF(AND(U11="Verified submitted",OR(V11="",W11="",S11&lt;&gt;"Verified")),"Submission evidence gap",IF(AND(S11="Verified",T11=""),"Source evidence gap","Recorded")))))))</x:f>
      </x:c>
      <x:c r="AB11" s="9" t="str">
        <x:f>IF(A11="","",IF(OR(I11="",J11=""),"Undated",IF(AND(I11&gt;='Dashboard'!$B$6,I11&lt;='Dashboard'!$B$7),"In period","Outside period")))</x:f>
      </x:c>
      <x:c r="AC11" s="9" t="str">
        <x:f>IF(A11="","",IF(AND(OR(K11="Complete",K11="Received partial"),O11&lt;&gt;"",O11&lt;='Dashboard'!$B$4),1,0))</x:f>
      </x:c>
      <x:c r="AD11" s="9" t="str">
        <x:f>IF(A11="","",IF(AND(U11="Verified submitted",V11&lt;&gt;"",V11&lt;='Dashboard'!$B$4,W11&lt;&gt;"",S11="Verified",T11&lt;&gt;""),1,0))</x:f>
      </x:c>
      <x:c r="AE11" s="1"/>
      <x:c r="AF11" s="1"/>
      <x:c r="AG11" s="1"/>
      <x:c r="AH11" s="1"/>
    </x:row>
    <x:row r="12" ht="23" customHeight="1">
      <x:c r="A12" s="8"/>
      <x:c r="B12" s="8"/>
      <x:c r="C12" s="9" t="str">
        <x:f>IF(B12="","",IF(COUNTIFS('Roster'!$A$6:$A$205,B12)&lt;&gt;1,"Check roster",IF(INDEX('Roster'!$B$6:$B$205,MATCH(B12,'Roster'!$A$6:$A$205,0))="","Site missing",INDEX('Roster'!$B$6:$B$205,MATCH(B12,'Roster'!$A$6:$A$205,0)))))</x:f>
      </x:c>
      <x:c r="D12" s="6"/>
      <x:c r="E12" s="7"/>
      <x:c r="F12" s="6"/>
      <x:c r="G12" s="6"/>
      <x:c r="H12" s="6"/>
      <x:c r="I12" s="7"/>
      <x:c r="J12" s="6"/>
      <x:c r="K12" s="6"/>
      <x:c r="L12" s="7"/>
      <x:c r="M12" s="7"/>
      <x:c r="N12" s="7"/>
      <x:c r="O12" s="7"/>
      <x:c r="P12" s="7"/>
      <x:c r="Q12" s="6"/>
      <x:c r="R12" s="7"/>
      <x:c r="S12" s="6"/>
      <x:c r="T12" s="6"/>
      <x:c r="U12" s="6"/>
      <x:c r="V12" s="7"/>
      <x:c r="W12" s="6"/>
      <x:c r="X12" s="7"/>
      <x:c r="Y12" s="9" t="str">
        <x:f>IF(A12="","",IF(OR(K12="Complete",K12="Declined",K12="Closed without data"),"Collection closed",IF(OR(I12="",J12=""),"Date unverified",IF(I12&lt;'Dashboard'!$B$4,"Overdue",IF(I12&lt;='Dashboard'!$B$4+'Dashboard'!$B$5,"Due soon","Later")))))</x:f>
      </x:c>
      <x:c r="Z12" s="9" t="str">
        <x:f>IF(A12="","",IF(H12="","Unassigned",IF(AND(L12&lt;&gt;"",M12=""),"Awaiting acknowledgement",IF(AND(R12&lt;&gt;"",R12&lt;'Dashboard'!$B$4),"Action date passed",IF(AND(OR(K12="Not started",K12="In progress",K12="Awaiting return",K12="Received partial",K12="Unable to reach"),OR(Q12="",R12="")),"Next action missing","No handoff flag")))))</x:f>
      </x:c>
      <x:c r="AA12" s="9" t="str">
        <x:f>IF(A12="","",IF(COUNTIFS($A$6:$A$205,A12)&gt;1,"Duplicate task ID",IF(COUNTIFS($B$6:$B$205,B12,$D$6:$D$205,D12,$E$6:$E$205,E12,$F$6:$F$205,F12)&gt;1,"Duplicate cycle/instrument",IF(OR(B12="",C12="Check roster",C12="Site missing",D12="",E12="",F12="",G12="",G12="Needs verification",K12="",S12="",U12="",X12=""),"Missing core fields",IF(AND(OR(K12="Complete",K12="Received partial"),O12=""),"Missing completion date",IF(AND(U12="Verified submitted",OR(V12="",W12="",S12&lt;&gt;"Verified")),"Submission evidence gap",IF(AND(S12="Verified",T12=""),"Source evidence gap","Recorded")))))))</x:f>
      </x:c>
      <x:c r="AB12" s="9" t="str">
        <x:f>IF(A12="","",IF(OR(I12="",J12=""),"Undated",IF(AND(I12&gt;='Dashboard'!$B$6,I12&lt;='Dashboard'!$B$7),"In period","Outside period")))</x:f>
      </x:c>
      <x:c r="AC12" s="9" t="str">
        <x:f>IF(A12="","",IF(AND(OR(K12="Complete",K12="Received partial"),O12&lt;&gt;"",O12&lt;='Dashboard'!$B$4),1,0))</x:f>
      </x:c>
      <x:c r="AD12" s="9" t="str">
        <x:f>IF(A12="","",IF(AND(U12="Verified submitted",V12&lt;&gt;"",V12&lt;='Dashboard'!$B$4,W12&lt;&gt;"",S12="Verified",T12&lt;&gt;""),1,0))</x:f>
      </x:c>
      <x:c r="AE12" s="1"/>
      <x:c r="AF12" s="1"/>
      <x:c r="AG12" s="1"/>
      <x:c r="AH12" s="1"/>
    </x:row>
    <x:row r="13" ht="23" customHeight="1">
      <x:c r="A13" s="8"/>
      <x:c r="B13" s="8"/>
      <x:c r="C13" s="9" t="str">
        <x:f>IF(B13="","",IF(COUNTIFS('Roster'!$A$6:$A$205,B13)&lt;&gt;1,"Check roster",IF(INDEX('Roster'!$B$6:$B$205,MATCH(B13,'Roster'!$A$6:$A$205,0))="","Site missing",INDEX('Roster'!$B$6:$B$205,MATCH(B13,'Roster'!$A$6:$A$205,0)))))</x:f>
      </x:c>
      <x:c r="D13" s="6"/>
      <x:c r="E13" s="7"/>
      <x:c r="F13" s="6"/>
      <x:c r="G13" s="6"/>
      <x:c r="H13" s="6"/>
      <x:c r="I13" s="7"/>
      <x:c r="J13" s="6"/>
      <x:c r="K13" s="6"/>
      <x:c r="L13" s="7"/>
      <x:c r="M13" s="7"/>
      <x:c r="N13" s="7"/>
      <x:c r="O13" s="7"/>
      <x:c r="P13" s="7"/>
      <x:c r="Q13" s="6"/>
      <x:c r="R13" s="7"/>
      <x:c r="S13" s="6"/>
      <x:c r="T13" s="6"/>
      <x:c r="U13" s="6"/>
      <x:c r="V13" s="7"/>
      <x:c r="W13" s="6"/>
      <x:c r="X13" s="7"/>
      <x:c r="Y13" s="9" t="str">
        <x:f>IF(A13="","",IF(OR(K13="Complete",K13="Declined",K13="Closed without data"),"Collection closed",IF(OR(I13="",J13=""),"Date unverified",IF(I13&lt;'Dashboard'!$B$4,"Overdue",IF(I13&lt;='Dashboard'!$B$4+'Dashboard'!$B$5,"Due soon","Later")))))</x:f>
      </x:c>
      <x:c r="Z13" s="9" t="str">
        <x:f>IF(A13="","",IF(H13="","Unassigned",IF(AND(L13&lt;&gt;"",M13=""),"Awaiting acknowledgement",IF(AND(R13&lt;&gt;"",R13&lt;'Dashboard'!$B$4),"Action date passed",IF(AND(OR(K13="Not started",K13="In progress",K13="Awaiting return",K13="Received partial",K13="Unable to reach"),OR(Q13="",R13="")),"Next action missing","No handoff flag")))))</x:f>
      </x:c>
      <x:c r="AA13" s="9" t="str">
        <x:f>IF(A13="","",IF(COUNTIFS($A$6:$A$205,A13)&gt;1,"Duplicate task ID",IF(COUNTIFS($B$6:$B$205,B13,$D$6:$D$205,D13,$E$6:$E$205,E13,$F$6:$F$205,F13)&gt;1,"Duplicate cycle/instrument",IF(OR(B13="",C13="Check roster",C13="Site missing",D13="",E13="",F13="",G13="",G13="Needs verification",K13="",S13="",U13="",X13=""),"Missing core fields",IF(AND(OR(K13="Complete",K13="Received partial"),O13=""),"Missing completion date",IF(AND(U13="Verified submitted",OR(V13="",W13="",S13&lt;&gt;"Verified")),"Submission evidence gap",IF(AND(S13="Verified",T13=""),"Source evidence gap","Recorded")))))))</x:f>
      </x:c>
      <x:c r="AB13" s="9" t="str">
        <x:f>IF(A13="","",IF(OR(I13="",J13=""),"Undated",IF(AND(I13&gt;='Dashboard'!$B$6,I13&lt;='Dashboard'!$B$7),"In period","Outside period")))</x:f>
      </x:c>
      <x:c r="AC13" s="9" t="str">
        <x:f>IF(A13="","",IF(AND(OR(K13="Complete",K13="Received partial"),O13&lt;&gt;"",O13&lt;='Dashboard'!$B$4),1,0))</x:f>
      </x:c>
      <x:c r="AD13" s="9" t="str">
        <x:f>IF(A13="","",IF(AND(U13="Verified submitted",V13&lt;&gt;"",V13&lt;='Dashboard'!$B$4,W13&lt;&gt;"",S13="Verified",T13&lt;&gt;""),1,0))</x:f>
      </x:c>
      <x:c r="AE13" s="1"/>
      <x:c r="AF13" s="1"/>
      <x:c r="AG13" s="1"/>
      <x:c r="AH13" s="1"/>
    </x:row>
    <x:row r="14" ht="23" customHeight="1">
      <x:c r="A14" s="8"/>
      <x:c r="B14" s="8"/>
      <x:c r="C14" s="9" t="str">
        <x:f>IF(B14="","",IF(COUNTIFS('Roster'!$A$6:$A$205,B14)&lt;&gt;1,"Check roster",IF(INDEX('Roster'!$B$6:$B$205,MATCH(B14,'Roster'!$A$6:$A$205,0))="","Site missing",INDEX('Roster'!$B$6:$B$205,MATCH(B14,'Roster'!$A$6:$A$205,0)))))</x:f>
      </x:c>
      <x:c r="D14" s="6"/>
      <x:c r="E14" s="7"/>
      <x:c r="F14" s="6"/>
      <x:c r="G14" s="6"/>
      <x:c r="H14" s="6"/>
      <x:c r="I14" s="7"/>
      <x:c r="J14" s="6"/>
      <x:c r="K14" s="6"/>
      <x:c r="L14" s="7"/>
      <x:c r="M14" s="7"/>
      <x:c r="N14" s="7"/>
      <x:c r="O14" s="7"/>
      <x:c r="P14" s="7"/>
      <x:c r="Q14" s="6"/>
      <x:c r="R14" s="7"/>
      <x:c r="S14" s="6"/>
      <x:c r="T14" s="6"/>
      <x:c r="U14" s="6"/>
      <x:c r="V14" s="7"/>
      <x:c r="W14" s="6"/>
      <x:c r="X14" s="7"/>
      <x:c r="Y14" s="9" t="str">
        <x:f>IF(A14="","",IF(OR(K14="Complete",K14="Declined",K14="Closed without data"),"Collection closed",IF(OR(I14="",J14=""),"Date unverified",IF(I14&lt;'Dashboard'!$B$4,"Overdue",IF(I14&lt;='Dashboard'!$B$4+'Dashboard'!$B$5,"Due soon","Later")))))</x:f>
      </x:c>
      <x:c r="Z14" s="9" t="str">
        <x:f>IF(A14="","",IF(H14="","Unassigned",IF(AND(L14&lt;&gt;"",M14=""),"Awaiting acknowledgement",IF(AND(R14&lt;&gt;"",R14&lt;'Dashboard'!$B$4),"Action date passed",IF(AND(OR(K14="Not started",K14="In progress",K14="Awaiting return",K14="Received partial",K14="Unable to reach"),OR(Q14="",R14="")),"Next action missing","No handoff flag")))))</x:f>
      </x:c>
      <x:c r="AA14" s="9" t="str">
        <x:f>IF(A14="","",IF(COUNTIFS($A$6:$A$205,A14)&gt;1,"Duplicate task ID",IF(COUNTIFS($B$6:$B$205,B14,$D$6:$D$205,D14,$E$6:$E$205,E14,$F$6:$F$205,F14)&gt;1,"Duplicate cycle/instrument",IF(OR(B14="",C14="Check roster",C14="Site missing",D14="",E14="",F14="",G14="",G14="Needs verification",K14="",S14="",U14="",X14=""),"Missing core fields",IF(AND(OR(K14="Complete",K14="Received partial"),O14=""),"Missing completion date",IF(AND(U14="Verified submitted",OR(V14="",W14="",S14&lt;&gt;"Verified")),"Submission evidence gap",IF(AND(S14="Verified",T14=""),"Source evidence gap","Recorded")))))))</x:f>
      </x:c>
      <x:c r="AB14" s="9" t="str">
        <x:f>IF(A14="","",IF(OR(I14="",J14=""),"Undated",IF(AND(I14&gt;='Dashboard'!$B$6,I14&lt;='Dashboard'!$B$7),"In period","Outside period")))</x:f>
      </x:c>
      <x:c r="AC14" s="9" t="str">
        <x:f>IF(A14="","",IF(AND(OR(K14="Complete",K14="Received partial"),O14&lt;&gt;"",O14&lt;='Dashboard'!$B$4),1,0))</x:f>
      </x:c>
      <x:c r="AD14" s="9" t="str">
        <x:f>IF(A14="","",IF(AND(U14="Verified submitted",V14&lt;&gt;"",V14&lt;='Dashboard'!$B$4,W14&lt;&gt;"",S14="Verified",T14&lt;&gt;""),1,0))</x:f>
      </x:c>
      <x:c r="AE14" s="1"/>
      <x:c r="AF14" s="1"/>
      <x:c r="AG14" s="1"/>
      <x:c r="AH14" s="1"/>
    </x:row>
    <x:row r="15" ht="23" customHeight="1">
      <x:c r="A15" s="8"/>
      <x:c r="B15" s="8"/>
      <x:c r="C15" s="9" t="str">
        <x:f>IF(B15="","",IF(COUNTIFS('Roster'!$A$6:$A$205,B15)&lt;&gt;1,"Check roster",IF(INDEX('Roster'!$B$6:$B$205,MATCH(B15,'Roster'!$A$6:$A$205,0))="","Site missing",INDEX('Roster'!$B$6:$B$205,MATCH(B15,'Roster'!$A$6:$A$205,0)))))</x:f>
      </x:c>
      <x:c r="D15" s="6"/>
      <x:c r="E15" s="7"/>
      <x:c r="F15" s="6"/>
      <x:c r="G15" s="6"/>
      <x:c r="H15" s="6"/>
      <x:c r="I15" s="7"/>
      <x:c r="J15" s="6"/>
      <x:c r="K15" s="6"/>
      <x:c r="L15" s="7"/>
      <x:c r="M15" s="7"/>
      <x:c r="N15" s="7"/>
      <x:c r="O15" s="7"/>
      <x:c r="P15" s="7"/>
      <x:c r="Q15" s="6"/>
      <x:c r="R15" s="7"/>
      <x:c r="S15" s="6"/>
      <x:c r="T15" s="6"/>
      <x:c r="U15" s="6"/>
      <x:c r="V15" s="7"/>
      <x:c r="W15" s="6"/>
      <x:c r="X15" s="7"/>
      <x:c r="Y15" s="9" t="str">
        <x:f>IF(A15="","",IF(OR(K15="Complete",K15="Declined",K15="Closed without data"),"Collection closed",IF(OR(I15="",J15=""),"Date unverified",IF(I15&lt;'Dashboard'!$B$4,"Overdue",IF(I15&lt;='Dashboard'!$B$4+'Dashboard'!$B$5,"Due soon","Later")))))</x:f>
      </x:c>
      <x:c r="Z15" s="9" t="str">
        <x:f>IF(A15="","",IF(H15="","Unassigned",IF(AND(L15&lt;&gt;"",M15=""),"Awaiting acknowledgement",IF(AND(R15&lt;&gt;"",R15&lt;'Dashboard'!$B$4),"Action date passed",IF(AND(OR(K15="Not started",K15="In progress",K15="Awaiting return",K15="Received partial",K15="Unable to reach"),OR(Q15="",R15="")),"Next action missing","No handoff flag")))))</x:f>
      </x:c>
      <x:c r="AA15" s="9" t="str">
        <x:f>IF(A15="","",IF(COUNTIFS($A$6:$A$205,A15)&gt;1,"Duplicate task ID",IF(COUNTIFS($B$6:$B$205,B15,$D$6:$D$205,D15,$E$6:$E$205,E15,$F$6:$F$205,F15)&gt;1,"Duplicate cycle/instrument",IF(OR(B15="",C15="Check roster",C15="Site missing",D15="",E15="",F15="",G15="",G15="Needs verification",K15="",S15="",U15="",X15=""),"Missing core fields",IF(AND(OR(K15="Complete",K15="Received partial"),O15=""),"Missing completion date",IF(AND(U15="Verified submitted",OR(V15="",W15="",S15&lt;&gt;"Verified")),"Submission evidence gap",IF(AND(S15="Verified",T15=""),"Source evidence gap","Recorded")))))))</x:f>
      </x:c>
      <x:c r="AB15" s="9" t="str">
        <x:f>IF(A15="","",IF(OR(I15="",J15=""),"Undated",IF(AND(I15&gt;='Dashboard'!$B$6,I15&lt;='Dashboard'!$B$7),"In period","Outside period")))</x:f>
      </x:c>
      <x:c r="AC15" s="9" t="str">
        <x:f>IF(A15="","",IF(AND(OR(K15="Complete",K15="Received partial"),O15&lt;&gt;"",O15&lt;='Dashboard'!$B$4),1,0))</x:f>
      </x:c>
      <x:c r="AD15" s="9" t="str">
        <x:f>IF(A15="","",IF(AND(U15="Verified submitted",V15&lt;&gt;"",V15&lt;='Dashboard'!$B$4,W15&lt;&gt;"",S15="Verified",T15&lt;&gt;""),1,0))</x:f>
      </x:c>
      <x:c r="AE15" s="1"/>
      <x:c r="AF15" s="1"/>
      <x:c r="AG15" s="1"/>
      <x:c r="AH15" s="1"/>
    </x:row>
    <x:row r="16" ht="23" customHeight="1">
      <x:c r="A16" s="8"/>
      <x:c r="B16" s="8"/>
      <x:c r="C16" s="9" t="str">
        <x:f>IF(B16="","",IF(COUNTIFS('Roster'!$A$6:$A$205,B16)&lt;&gt;1,"Check roster",IF(INDEX('Roster'!$B$6:$B$205,MATCH(B16,'Roster'!$A$6:$A$205,0))="","Site missing",INDEX('Roster'!$B$6:$B$205,MATCH(B16,'Roster'!$A$6:$A$205,0)))))</x:f>
      </x:c>
      <x:c r="D16" s="6"/>
      <x:c r="E16" s="7"/>
      <x:c r="F16" s="6"/>
      <x:c r="G16" s="6"/>
      <x:c r="H16" s="6"/>
      <x:c r="I16" s="7"/>
      <x:c r="J16" s="6"/>
      <x:c r="K16" s="6"/>
      <x:c r="L16" s="7"/>
      <x:c r="M16" s="7"/>
      <x:c r="N16" s="7"/>
      <x:c r="O16" s="7"/>
      <x:c r="P16" s="7"/>
      <x:c r="Q16" s="6"/>
      <x:c r="R16" s="7"/>
      <x:c r="S16" s="6"/>
      <x:c r="T16" s="6"/>
      <x:c r="U16" s="6"/>
      <x:c r="V16" s="7"/>
      <x:c r="W16" s="6"/>
      <x:c r="X16" s="7"/>
      <x:c r="Y16" s="9" t="str">
        <x:f>IF(A16="","",IF(OR(K16="Complete",K16="Declined",K16="Closed without data"),"Collection closed",IF(OR(I16="",J16=""),"Date unverified",IF(I16&lt;'Dashboard'!$B$4,"Overdue",IF(I16&lt;='Dashboard'!$B$4+'Dashboard'!$B$5,"Due soon","Later")))))</x:f>
      </x:c>
      <x:c r="Z16" s="9" t="str">
        <x:f>IF(A16="","",IF(H16="","Unassigned",IF(AND(L16&lt;&gt;"",M16=""),"Awaiting acknowledgement",IF(AND(R16&lt;&gt;"",R16&lt;'Dashboard'!$B$4),"Action date passed",IF(AND(OR(K16="Not started",K16="In progress",K16="Awaiting return",K16="Received partial",K16="Unable to reach"),OR(Q16="",R16="")),"Next action missing","No handoff flag")))))</x:f>
      </x:c>
      <x:c r="AA16" s="9" t="str">
        <x:f>IF(A16="","",IF(COUNTIFS($A$6:$A$205,A16)&gt;1,"Duplicate task ID",IF(COUNTIFS($B$6:$B$205,B16,$D$6:$D$205,D16,$E$6:$E$205,E16,$F$6:$F$205,F16)&gt;1,"Duplicate cycle/instrument",IF(OR(B16="",C16="Check roster",C16="Site missing",D16="",E16="",F16="",G16="",G16="Needs verification",K16="",S16="",U16="",X16=""),"Missing core fields",IF(AND(OR(K16="Complete",K16="Received partial"),O16=""),"Missing completion date",IF(AND(U16="Verified submitted",OR(V16="",W16="",S16&lt;&gt;"Verified")),"Submission evidence gap",IF(AND(S16="Verified",T16=""),"Source evidence gap","Recorded")))))))</x:f>
      </x:c>
      <x:c r="AB16" s="9" t="str">
        <x:f>IF(A16="","",IF(OR(I16="",J16=""),"Undated",IF(AND(I16&gt;='Dashboard'!$B$6,I16&lt;='Dashboard'!$B$7),"In period","Outside period")))</x:f>
      </x:c>
      <x:c r="AC16" s="9" t="str">
        <x:f>IF(A16="","",IF(AND(OR(K16="Complete",K16="Received partial"),O16&lt;&gt;"",O16&lt;='Dashboard'!$B$4),1,0))</x:f>
      </x:c>
      <x:c r="AD16" s="9" t="str">
        <x:f>IF(A16="","",IF(AND(U16="Verified submitted",V16&lt;&gt;"",V16&lt;='Dashboard'!$B$4,W16&lt;&gt;"",S16="Verified",T16&lt;&gt;""),1,0))</x:f>
      </x:c>
      <x:c r="AE16" s="1"/>
      <x:c r="AF16" s="1"/>
      <x:c r="AG16" s="1"/>
      <x:c r="AH16" s="1"/>
    </x:row>
    <x:row r="17" ht="23" customHeight="1">
      <x:c r="A17" s="8"/>
      <x:c r="B17" s="8"/>
      <x:c r="C17" s="9" t="str">
        <x:f>IF(B17="","",IF(COUNTIFS('Roster'!$A$6:$A$205,B17)&lt;&gt;1,"Check roster",IF(INDEX('Roster'!$B$6:$B$205,MATCH(B17,'Roster'!$A$6:$A$205,0))="","Site missing",INDEX('Roster'!$B$6:$B$205,MATCH(B17,'Roster'!$A$6:$A$205,0)))))</x:f>
      </x:c>
      <x:c r="D17" s="6"/>
      <x:c r="E17" s="7"/>
      <x:c r="F17" s="6"/>
      <x:c r="G17" s="6"/>
      <x:c r="H17" s="6"/>
      <x:c r="I17" s="7"/>
      <x:c r="J17" s="6"/>
      <x:c r="K17" s="6"/>
      <x:c r="L17" s="7"/>
      <x:c r="M17" s="7"/>
      <x:c r="N17" s="7"/>
      <x:c r="O17" s="7"/>
      <x:c r="P17" s="7"/>
      <x:c r="Q17" s="6"/>
      <x:c r="R17" s="7"/>
      <x:c r="S17" s="6"/>
      <x:c r="T17" s="6"/>
      <x:c r="U17" s="6"/>
      <x:c r="V17" s="7"/>
      <x:c r="W17" s="6"/>
      <x:c r="X17" s="7"/>
      <x:c r="Y17" s="9" t="str">
        <x:f>IF(A17="","",IF(OR(K17="Complete",K17="Declined",K17="Closed without data"),"Collection closed",IF(OR(I17="",J17=""),"Date unverified",IF(I17&lt;'Dashboard'!$B$4,"Overdue",IF(I17&lt;='Dashboard'!$B$4+'Dashboard'!$B$5,"Due soon","Later")))))</x:f>
      </x:c>
      <x:c r="Z17" s="9" t="str">
        <x:f>IF(A17="","",IF(H17="","Unassigned",IF(AND(L17&lt;&gt;"",M17=""),"Awaiting acknowledgement",IF(AND(R17&lt;&gt;"",R17&lt;'Dashboard'!$B$4),"Action date passed",IF(AND(OR(K17="Not started",K17="In progress",K17="Awaiting return",K17="Received partial",K17="Unable to reach"),OR(Q17="",R17="")),"Next action missing","No handoff flag")))))</x:f>
      </x:c>
      <x:c r="AA17" s="9" t="str">
        <x:f>IF(A17="","",IF(COUNTIFS($A$6:$A$205,A17)&gt;1,"Duplicate task ID",IF(COUNTIFS($B$6:$B$205,B17,$D$6:$D$205,D17,$E$6:$E$205,E17,$F$6:$F$205,F17)&gt;1,"Duplicate cycle/instrument",IF(OR(B17="",C17="Check roster",C17="Site missing",D17="",E17="",F17="",G17="",G17="Needs verification",K17="",S17="",U17="",X17=""),"Missing core fields",IF(AND(OR(K17="Complete",K17="Received partial"),O17=""),"Missing completion date",IF(AND(U17="Verified submitted",OR(V17="",W17="",S17&lt;&gt;"Verified")),"Submission evidence gap",IF(AND(S17="Verified",T17=""),"Source evidence gap","Recorded")))))))</x:f>
      </x:c>
      <x:c r="AB17" s="9" t="str">
        <x:f>IF(A17="","",IF(OR(I17="",J17=""),"Undated",IF(AND(I17&gt;='Dashboard'!$B$6,I17&lt;='Dashboard'!$B$7),"In period","Outside period")))</x:f>
      </x:c>
      <x:c r="AC17" s="9" t="str">
        <x:f>IF(A17="","",IF(AND(OR(K17="Complete",K17="Received partial"),O17&lt;&gt;"",O17&lt;='Dashboard'!$B$4),1,0))</x:f>
      </x:c>
      <x:c r="AD17" s="9" t="str">
        <x:f>IF(A17="","",IF(AND(U17="Verified submitted",V17&lt;&gt;"",V17&lt;='Dashboard'!$B$4,W17&lt;&gt;"",S17="Verified",T17&lt;&gt;""),1,0))</x:f>
      </x:c>
      <x:c r="AE17" s="1"/>
      <x:c r="AF17" s="1"/>
      <x:c r="AG17" s="1"/>
      <x:c r="AH17" s="1"/>
    </x:row>
    <x:row r="18" ht="23" customHeight="1">
      <x:c r="A18" s="8"/>
      <x:c r="B18" s="8"/>
      <x:c r="C18" s="9" t="str">
        <x:f>IF(B18="","",IF(COUNTIFS('Roster'!$A$6:$A$205,B18)&lt;&gt;1,"Check roster",IF(INDEX('Roster'!$B$6:$B$205,MATCH(B18,'Roster'!$A$6:$A$205,0))="","Site missing",INDEX('Roster'!$B$6:$B$205,MATCH(B18,'Roster'!$A$6:$A$205,0)))))</x:f>
      </x:c>
      <x:c r="D18" s="6"/>
      <x:c r="E18" s="7"/>
      <x:c r="F18" s="6"/>
      <x:c r="G18" s="6"/>
      <x:c r="H18" s="6"/>
      <x:c r="I18" s="7"/>
      <x:c r="J18" s="6"/>
      <x:c r="K18" s="6"/>
      <x:c r="L18" s="7"/>
      <x:c r="M18" s="7"/>
      <x:c r="N18" s="7"/>
      <x:c r="O18" s="7"/>
      <x:c r="P18" s="7"/>
      <x:c r="Q18" s="6"/>
      <x:c r="R18" s="7"/>
      <x:c r="S18" s="6"/>
      <x:c r="T18" s="6"/>
      <x:c r="U18" s="6"/>
      <x:c r="V18" s="7"/>
      <x:c r="W18" s="6"/>
      <x:c r="X18" s="7"/>
      <x:c r="Y18" s="9" t="str">
        <x:f>IF(A18="","",IF(OR(K18="Complete",K18="Declined",K18="Closed without data"),"Collection closed",IF(OR(I18="",J18=""),"Date unverified",IF(I18&lt;'Dashboard'!$B$4,"Overdue",IF(I18&lt;='Dashboard'!$B$4+'Dashboard'!$B$5,"Due soon","Later")))))</x:f>
      </x:c>
      <x:c r="Z18" s="9" t="str">
        <x:f>IF(A18="","",IF(H18="","Unassigned",IF(AND(L18&lt;&gt;"",M18=""),"Awaiting acknowledgement",IF(AND(R18&lt;&gt;"",R18&lt;'Dashboard'!$B$4),"Action date passed",IF(AND(OR(K18="Not started",K18="In progress",K18="Awaiting return",K18="Received partial",K18="Unable to reach"),OR(Q18="",R18="")),"Next action missing","No handoff flag")))))</x:f>
      </x:c>
      <x:c r="AA18" s="9" t="str">
        <x:f>IF(A18="","",IF(COUNTIFS($A$6:$A$205,A18)&gt;1,"Duplicate task ID",IF(COUNTIFS($B$6:$B$205,B18,$D$6:$D$205,D18,$E$6:$E$205,E18,$F$6:$F$205,F18)&gt;1,"Duplicate cycle/instrument",IF(OR(B18="",C18="Check roster",C18="Site missing",D18="",E18="",F18="",G18="",G18="Needs verification",K18="",S18="",U18="",X18=""),"Missing core fields",IF(AND(OR(K18="Complete",K18="Received partial"),O18=""),"Missing completion date",IF(AND(U18="Verified submitted",OR(V18="",W18="",S18&lt;&gt;"Verified")),"Submission evidence gap",IF(AND(S18="Verified",T18=""),"Source evidence gap","Recorded")))))))</x:f>
      </x:c>
      <x:c r="AB18" s="9" t="str">
        <x:f>IF(A18="","",IF(OR(I18="",J18=""),"Undated",IF(AND(I18&gt;='Dashboard'!$B$6,I18&lt;='Dashboard'!$B$7),"In period","Outside period")))</x:f>
      </x:c>
      <x:c r="AC18" s="9" t="str">
        <x:f>IF(A18="","",IF(AND(OR(K18="Complete",K18="Received partial"),O18&lt;&gt;"",O18&lt;='Dashboard'!$B$4),1,0))</x:f>
      </x:c>
      <x:c r="AD18" s="9" t="str">
        <x:f>IF(A18="","",IF(AND(U18="Verified submitted",V18&lt;&gt;"",V18&lt;='Dashboard'!$B$4,W18&lt;&gt;"",S18="Verified",T18&lt;&gt;""),1,0))</x:f>
      </x:c>
      <x:c r="AE18" s="1"/>
      <x:c r="AF18" s="1"/>
      <x:c r="AG18" s="1"/>
      <x:c r="AH18" s="1"/>
    </x:row>
    <x:row r="19" ht="23" customHeight="1">
      <x:c r="A19" s="8"/>
      <x:c r="B19" s="8"/>
      <x:c r="C19" s="9" t="str">
        <x:f>IF(B19="","",IF(COUNTIFS('Roster'!$A$6:$A$205,B19)&lt;&gt;1,"Check roster",IF(INDEX('Roster'!$B$6:$B$205,MATCH(B19,'Roster'!$A$6:$A$205,0))="","Site missing",INDEX('Roster'!$B$6:$B$205,MATCH(B19,'Roster'!$A$6:$A$205,0)))))</x:f>
      </x:c>
      <x:c r="D19" s="6"/>
      <x:c r="E19" s="7"/>
      <x:c r="F19" s="6"/>
      <x:c r="G19" s="6"/>
      <x:c r="H19" s="6"/>
      <x:c r="I19" s="7"/>
      <x:c r="J19" s="6"/>
      <x:c r="K19" s="6"/>
      <x:c r="L19" s="7"/>
      <x:c r="M19" s="7"/>
      <x:c r="N19" s="7"/>
      <x:c r="O19" s="7"/>
      <x:c r="P19" s="7"/>
      <x:c r="Q19" s="6"/>
      <x:c r="R19" s="7"/>
      <x:c r="S19" s="6"/>
      <x:c r="T19" s="6"/>
      <x:c r="U19" s="6"/>
      <x:c r="V19" s="7"/>
      <x:c r="W19" s="6"/>
      <x:c r="X19" s="7"/>
      <x:c r="Y19" s="9" t="str">
        <x:f>IF(A19="","",IF(OR(K19="Complete",K19="Declined",K19="Closed without data"),"Collection closed",IF(OR(I19="",J19=""),"Date unverified",IF(I19&lt;'Dashboard'!$B$4,"Overdue",IF(I19&lt;='Dashboard'!$B$4+'Dashboard'!$B$5,"Due soon","Later")))))</x:f>
      </x:c>
      <x:c r="Z19" s="9" t="str">
        <x:f>IF(A19="","",IF(H19="","Unassigned",IF(AND(L19&lt;&gt;"",M19=""),"Awaiting acknowledgement",IF(AND(R19&lt;&gt;"",R19&lt;'Dashboard'!$B$4),"Action date passed",IF(AND(OR(K19="Not started",K19="In progress",K19="Awaiting return",K19="Received partial",K19="Unable to reach"),OR(Q19="",R19="")),"Next action missing","No handoff flag")))))</x:f>
      </x:c>
      <x:c r="AA19" s="9" t="str">
        <x:f>IF(A19="","",IF(COUNTIFS($A$6:$A$205,A19)&gt;1,"Duplicate task ID",IF(COUNTIFS($B$6:$B$205,B19,$D$6:$D$205,D19,$E$6:$E$205,E19,$F$6:$F$205,F19)&gt;1,"Duplicate cycle/instrument",IF(OR(B19="",C19="Check roster",C19="Site missing",D19="",E19="",F19="",G19="",G19="Needs verification",K19="",S19="",U19="",X19=""),"Missing core fields",IF(AND(OR(K19="Complete",K19="Received partial"),O19=""),"Missing completion date",IF(AND(U19="Verified submitted",OR(V19="",W19="",S19&lt;&gt;"Verified")),"Submission evidence gap",IF(AND(S19="Verified",T19=""),"Source evidence gap","Recorded")))))))</x:f>
      </x:c>
      <x:c r="AB19" s="9" t="str">
        <x:f>IF(A19="","",IF(OR(I19="",J19=""),"Undated",IF(AND(I19&gt;='Dashboard'!$B$6,I19&lt;='Dashboard'!$B$7),"In period","Outside period")))</x:f>
      </x:c>
      <x:c r="AC19" s="9" t="str">
        <x:f>IF(A19="","",IF(AND(OR(K19="Complete",K19="Received partial"),O19&lt;&gt;"",O19&lt;='Dashboard'!$B$4),1,0))</x:f>
      </x:c>
      <x:c r="AD19" s="9" t="str">
        <x:f>IF(A19="","",IF(AND(U19="Verified submitted",V19&lt;&gt;"",V19&lt;='Dashboard'!$B$4,W19&lt;&gt;"",S19="Verified",T19&lt;&gt;""),1,0))</x:f>
      </x:c>
      <x:c r="AE19" s="1"/>
      <x:c r="AF19" s="1"/>
      <x:c r="AG19" s="1"/>
      <x:c r="AH19" s="1"/>
    </x:row>
    <x:row r="20" ht="23" customHeight="1">
      <x:c r="A20" s="8"/>
      <x:c r="B20" s="8"/>
      <x:c r="C20" s="9" t="str">
        <x:f>IF(B20="","",IF(COUNTIFS('Roster'!$A$6:$A$205,B20)&lt;&gt;1,"Check roster",IF(INDEX('Roster'!$B$6:$B$205,MATCH(B20,'Roster'!$A$6:$A$205,0))="","Site missing",INDEX('Roster'!$B$6:$B$205,MATCH(B20,'Roster'!$A$6:$A$205,0)))))</x:f>
      </x:c>
      <x:c r="D20" s="6"/>
      <x:c r="E20" s="7"/>
      <x:c r="F20" s="6"/>
      <x:c r="G20" s="6"/>
      <x:c r="H20" s="6"/>
      <x:c r="I20" s="7"/>
      <x:c r="J20" s="6"/>
      <x:c r="K20" s="6"/>
      <x:c r="L20" s="7"/>
      <x:c r="M20" s="7"/>
      <x:c r="N20" s="7"/>
      <x:c r="O20" s="7"/>
      <x:c r="P20" s="7"/>
      <x:c r="Q20" s="6"/>
      <x:c r="R20" s="7"/>
      <x:c r="S20" s="6"/>
      <x:c r="T20" s="6"/>
      <x:c r="U20" s="6"/>
      <x:c r="V20" s="7"/>
      <x:c r="W20" s="6"/>
      <x:c r="X20" s="7"/>
      <x:c r="Y20" s="9" t="str">
        <x:f>IF(A20="","",IF(OR(K20="Complete",K20="Declined",K20="Closed without data"),"Collection closed",IF(OR(I20="",J20=""),"Date unverified",IF(I20&lt;'Dashboard'!$B$4,"Overdue",IF(I20&lt;='Dashboard'!$B$4+'Dashboard'!$B$5,"Due soon","Later")))))</x:f>
      </x:c>
      <x:c r="Z20" s="9" t="str">
        <x:f>IF(A20="","",IF(H20="","Unassigned",IF(AND(L20&lt;&gt;"",M20=""),"Awaiting acknowledgement",IF(AND(R20&lt;&gt;"",R20&lt;'Dashboard'!$B$4),"Action date passed",IF(AND(OR(K20="Not started",K20="In progress",K20="Awaiting return",K20="Received partial",K20="Unable to reach"),OR(Q20="",R20="")),"Next action missing","No handoff flag")))))</x:f>
      </x:c>
      <x:c r="AA20" s="9" t="str">
        <x:f>IF(A20="","",IF(COUNTIFS($A$6:$A$205,A20)&gt;1,"Duplicate task ID",IF(COUNTIFS($B$6:$B$205,B20,$D$6:$D$205,D20,$E$6:$E$205,E20,$F$6:$F$205,F20)&gt;1,"Duplicate cycle/instrument",IF(OR(B20="",C20="Check roster",C20="Site missing",D20="",E20="",F20="",G20="",G20="Needs verification",K20="",S20="",U20="",X20=""),"Missing core fields",IF(AND(OR(K20="Complete",K20="Received partial"),O20=""),"Missing completion date",IF(AND(U20="Verified submitted",OR(V20="",W20="",S20&lt;&gt;"Verified")),"Submission evidence gap",IF(AND(S20="Verified",T20=""),"Source evidence gap","Recorded")))))))</x:f>
      </x:c>
      <x:c r="AB20" s="9" t="str">
        <x:f>IF(A20="","",IF(OR(I20="",J20=""),"Undated",IF(AND(I20&gt;='Dashboard'!$B$6,I20&lt;='Dashboard'!$B$7),"In period","Outside period")))</x:f>
      </x:c>
      <x:c r="AC20" s="9" t="str">
        <x:f>IF(A20="","",IF(AND(OR(K20="Complete",K20="Received partial"),O20&lt;&gt;"",O20&lt;='Dashboard'!$B$4),1,0))</x:f>
      </x:c>
      <x:c r="AD20" s="9" t="str">
        <x:f>IF(A20="","",IF(AND(U20="Verified submitted",V20&lt;&gt;"",V20&lt;='Dashboard'!$B$4,W20&lt;&gt;"",S20="Verified",T20&lt;&gt;""),1,0))</x:f>
      </x:c>
      <x:c r="AE20" s="1"/>
      <x:c r="AF20" s="1"/>
      <x:c r="AG20" s="1"/>
      <x:c r="AH20" s="1"/>
    </x:row>
    <x:row r="21" ht="23" customHeight="1">
      <x:c r="A21" s="8"/>
      <x:c r="B21" s="8"/>
      <x:c r="C21" s="9" t="str">
        <x:f>IF(B21="","",IF(COUNTIFS('Roster'!$A$6:$A$205,B21)&lt;&gt;1,"Check roster",IF(INDEX('Roster'!$B$6:$B$205,MATCH(B21,'Roster'!$A$6:$A$205,0))="","Site missing",INDEX('Roster'!$B$6:$B$205,MATCH(B21,'Roster'!$A$6:$A$205,0)))))</x:f>
      </x:c>
      <x:c r="D21" s="6"/>
      <x:c r="E21" s="7"/>
      <x:c r="F21" s="6"/>
      <x:c r="G21" s="6"/>
      <x:c r="H21" s="6"/>
      <x:c r="I21" s="7"/>
      <x:c r="J21" s="6"/>
      <x:c r="K21" s="6"/>
      <x:c r="L21" s="7"/>
      <x:c r="M21" s="7"/>
      <x:c r="N21" s="7"/>
      <x:c r="O21" s="7"/>
      <x:c r="P21" s="7"/>
      <x:c r="Q21" s="6"/>
      <x:c r="R21" s="7"/>
      <x:c r="S21" s="6"/>
      <x:c r="T21" s="6"/>
      <x:c r="U21" s="6"/>
      <x:c r="V21" s="7"/>
      <x:c r="W21" s="6"/>
      <x:c r="X21" s="7"/>
      <x:c r="Y21" s="9" t="str">
        <x:f>IF(A21="","",IF(OR(K21="Complete",K21="Declined",K21="Closed without data"),"Collection closed",IF(OR(I21="",J21=""),"Date unverified",IF(I21&lt;'Dashboard'!$B$4,"Overdue",IF(I21&lt;='Dashboard'!$B$4+'Dashboard'!$B$5,"Due soon","Later")))))</x:f>
      </x:c>
      <x:c r="Z21" s="9" t="str">
        <x:f>IF(A21="","",IF(H21="","Unassigned",IF(AND(L21&lt;&gt;"",M21=""),"Awaiting acknowledgement",IF(AND(R21&lt;&gt;"",R21&lt;'Dashboard'!$B$4),"Action date passed",IF(AND(OR(K21="Not started",K21="In progress",K21="Awaiting return",K21="Received partial",K21="Unable to reach"),OR(Q21="",R21="")),"Next action missing","No handoff flag")))))</x:f>
      </x:c>
      <x:c r="AA21" s="9" t="str">
        <x:f>IF(A21="","",IF(COUNTIFS($A$6:$A$205,A21)&gt;1,"Duplicate task ID",IF(COUNTIFS($B$6:$B$205,B21,$D$6:$D$205,D21,$E$6:$E$205,E21,$F$6:$F$205,F21)&gt;1,"Duplicate cycle/instrument",IF(OR(B21="",C21="Check roster",C21="Site missing",D21="",E21="",F21="",G21="",G21="Needs verification",K21="",S21="",U21="",X21=""),"Missing core fields",IF(AND(OR(K21="Complete",K21="Received partial"),O21=""),"Missing completion date",IF(AND(U21="Verified submitted",OR(V21="",W21="",S21&lt;&gt;"Verified")),"Submission evidence gap",IF(AND(S21="Verified",T21=""),"Source evidence gap","Recorded")))))))</x:f>
      </x:c>
      <x:c r="AB21" s="9" t="str">
        <x:f>IF(A21="","",IF(OR(I21="",J21=""),"Undated",IF(AND(I21&gt;='Dashboard'!$B$6,I21&lt;='Dashboard'!$B$7),"In period","Outside period")))</x:f>
      </x:c>
      <x:c r="AC21" s="9" t="str">
        <x:f>IF(A21="","",IF(AND(OR(K21="Complete",K21="Received partial"),O21&lt;&gt;"",O21&lt;='Dashboard'!$B$4),1,0))</x:f>
      </x:c>
      <x:c r="AD21" s="9" t="str">
        <x:f>IF(A21="","",IF(AND(U21="Verified submitted",V21&lt;&gt;"",V21&lt;='Dashboard'!$B$4,W21&lt;&gt;"",S21="Verified",T21&lt;&gt;""),1,0))</x:f>
      </x:c>
      <x:c r="AE21" s="1"/>
      <x:c r="AF21" s="1"/>
      <x:c r="AG21" s="1"/>
      <x:c r="AH21" s="1"/>
    </x:row>
    <x:row r="22" ht="23" customHeight="1">
      <x:c r="A22" s="8"/>
      <x:c r="B22" s="8"/>
      <x:c r="C22" s="9" t="str">
        <x:f>IF(B22="","",IF(COUNTIFS('Roster'!$A$6:$A$205,B22)&lt;&gt;1,"Check roster",IF(INDEX('Roster'!$B$6:$B$205,MATCH(B22,'Roster'!$A$6:$A$205,0))="","Site missing",INDEX('Roster'!$B$6:$B$205,MATCH(B22,'Roster'!$A$6:$A$205,0)))))</x:f>
      </x:c>
      <x:c r="D22" s="6"/>
      <x:c r="E22" s="7"/>
      <x:c r="F22" s="6"/>
      <x:c r="G22" s="6"/>
      <x:c r="H22" s="6"/>
      <x:c r="I22" s="7"/>
      <x:c r="J22" s="6"/>
      <x:c r="K22" s="6"/>
      <x:c r="L22" s="7"/>
      <x:c r="M22" s="7"/>
      <x:c r="N22" s="7"/>
      <x:c r="O22" s="7"/>
      <x:c r="P22" s="7"/>
      <x:c r="Q22" s="6"/>
      <x:c r="R22" s="7"/>
      <x:c r="S22" s="6"/>
      <x:c r="T22" s="6"/>
      <x:c r="U22" s="6"/>
      <x:c r="V22" s="7"/>
      <x:c r="W22" s="6"/>
      <x:c r="X22" s="7"/>
      <x:c r="Y22" s="9" t="str">
        <x:f>IF(A22="","",IF(OR(K22="Complete",K22="Declined",K22="Closed without data"),"Collection closed",IF(OR(I22="",J22=""),"Date unverified",IF(I22&lt;'Dashboard'!$B$4,"Overdue",IF(I22&lt;='Dashboard'!$B$4+'Dashboard'!$B$5,"Due soon","Later")))))</x:f>
      </x:c>
      <x:c r="Z22" s="9" t="str">
        <x:f>IF(A22="","",IF(H22="","Unassigned",IF(AND(L22&lt;&gt;"",M22=""),"Awaiting acknowledgement",IF(AND(R22&lt;&gt;"",R22&lt;'Dashboard'!$B$4),"Action date passed",IF(AND(OR(K22="Not started",K22="In progress",K22="Awaiting return",K22="Received partial",K22="Unable to reach"),OR(Q22="",R22="")),"Next action missing","No handoff flag")))))</x:f>
      </x:c>
      <x:c r="AA22" s="9" t="str">
        <x:f>IF(A22="","",IF(COUNTIFS($A$6:$A$205,A22)&gt;1,"Duplicate task ID",IF(COUNTIFS($B$6:$B$205,B22,$D$6:$D$205,D22,$E$6:$E$205,E22,$F$6:$F$205,F22)&gt;1,"Duplicate cycle/instrument",IF(OR(B22="",C22="Check roster",C22="Site missing",D22="",E22="",F22="",G22="",G22="Needs verification",K22="",S22="",U22="",X22=""),"Missing core fields",IF(AND(OR(K22="Complete",K22="Received partial"),O22=""),"Missing completion date",IF(AND(U22="Verified submitted",OR(V22="",W22="",S22&lt;&gt;"Verified")),"Submission evidence gap",IF(AND(S22="Verified",T22=""),"Source evidence gap","Recorded")))))))</x:f>
      </x:c>
      <x:c r="AB22" s="9" t="str">
        <x:f>IF(A22="","",IF(OR(I22="",J22=""),"Undated",IF(AND(I22&gt;='Dashboard'!$B$6,I22&lt;='Dashboard'!$B$7),"In period","Outside period")))</x:f>
      </x:c>
      <x:c r="AC22" s="9" t="str">
        <x:f>IF(A22="","",IF(AND(OR(K22="Complete",K22="Received partial"),O22&lt;&gt;"",O22&lt;='Dashboard'!$B$4),1,0))</x:f>
      </x:c>
      <x:c r="AD22" s="9" t="str">
        <x:f>IF(A22="","",IF(AND(U22="Verified submitted",V22&lt;&gt;"",V22&lt;='Dashboard'!$B$4,W22&lt;&gt;"",S22="Verified",T22&lt;&gt;""),1,0))</x:f>
      </x:c>
      <x:c r="AE22" s="1"/>
      <x:c r="AF22" s="1"/>
      <x:c r="AG22" s="1"/>
      <x:c r="AH22" s="1"/>
    </x:row>
    <x:row r="23" ht="23" customHeight="1">
      <x:c r="A23" s="8"/>
      <x:c r="B23" s="8"/>
      <x:c r="C23" s="9" t="str">
        <x:f>IF(B23="","",IF(COUNTIFS('Roster'!$A$6:$A$205,B23)&lt;&gt;1,"Check roster",IF(INDEX('Roster'!$B$6:$B$205,MATCH(B23,'Roster'!$A$6:$A$205,0))="","Site missing",INDEX('Roster'!$B$6:$B$205,MATCH(B23,'Roster'!$A$6:$A$205,0)))))</x:f>
      </x:c>
      <x:c r="D23" s="6"/>
      <x:c r="E23" s="7"/>
      <x:c r="F23" s="6"/>
      <x:c r="G23" s="6"/>
      <x:c r="H23" s="6"/>
      <x:c r="I23" s="7"/>
      <x:c r="J23" s="6"/>
      <x:c r="K23" s="6"/>
      <x:c r="L23" s="7"/>
      <x:c r="M23" s="7"/>
      <x:c r="N23" s="7"/>
      <x:c r="O23" s="7"/>
      <x:c r="P23" s="7"/>
      <x:c r="Q23" s="6"/>
      <x:c r="R23" s="7"/>
      <x:c r="S23" s="6"/>
      <x:c r="T23" s="6"/>
      <x:c r="U23" s="6"/>
      <x:c r="V23" s="7"/>
      <x:c r="W23" s="6"/>
      <x:c r="X23" s="7"/>
      <x:c r="Y23" s="9" t="str">
        <x:f>IF(A23="","",IF(OR(K23="Complete",K23="Declined",K23="Closed without data"),"Collection closed",IF(OR(I23="",J23=""),"Date unverified",IF(I23&lt;'Dashboard'!$B$4,"Overdue",IF(I23&lt;='Dashboard'!$B$4+'Dashboard'!$B$5,"Due soon","Later")))))</x:f>
      </x:c>
      <x:c r="Z23" s="9" t="str">
        <x:f>IF(A23="","",IF(H23="","Unassigned",IF(AND(L23&lt;&gt;"",M23=""),"Awaiting acknowledgement",IF(AND(R23&lt;&gt;"",R23&lt;'Dashboard'!$B$4),"Action date passed",IF(AND(OR(K23="Not started",K23="In progress",K23="Awaiting return",K23="Received partial",K23="Unable to reach"),OR(Q23="",R23="")),"Next action missing","No handoff flag")))))</x:f>
      </x:c>
      <x:c r="AA23" s="9" t="str">
        <x:f>IF(A23="","",IF(COUNTIFS($A$6:$A$205,A23)&gt;1,"Duplicate task ID",IF(COUNTIFS($B$6:$B$205,B23,$D$6:$D$205,D23,$E$6:$E$205,E23,$F$6:$F$205,F23)&gt;1,"Duplicate cycle/instrument",IF(OR(B23="",C23="Check roster",C23="Site missing",D23="",E23="",F23="",G23="",G23="Needs verification",K23="",S23="",U23="",X23=""),"Missing core fields",IF(AND(OR(K23="Complete",K23="Received partial"),O23=""),"Missing completion date",IF(AND(U23="Verified submitted",OR(V23="",W23="",S23&lt;&gt;"Verified")),"Submission evidence gap",IF(AND(S23="Verified",T23=""),"Source evidence gap","Recorded")))))))</x:f>
      </x:c>
      <x:c r="AB23" s="9" t="str">
        <x:f>IF(A23="","",IF(OR(I23="",J23=""),"Undated",IF(AND(I23&gt;='Dashboard'!$B$6,I23&lt;='Dashboard'!$B$7),"In period","Outside period")))</x:f>
      </x:c>
      <x:c r="AC23" s="9" t="str">
        <x:f>IF(A23="","",IF(AND(OR(K23="Complete",K23="Received partial"),O23&lt;&gt;"",O23&lt;='Dashboard'!$B$4),1,0))</x:f>
      </x:c>
      <x:c r="AD23" s="9" t="str">
        <x:f>IF(A23="","",IF(AND(U23="Verified submitted",V23&lt;&gt;"",V23&lt;='Dashboard'!$B$4,W23&lt;&gt;"",S23="Verified",T23&lt;&gt;""),1,0))</x:f>
      </x:c>
      <x:c r="AE23" s="1"/>
      <x:c r="AF23" s="1"/>
      <x:c r="AG23" s="1"/>
      <x:c r="AH23" s="1"/>
    </x:row>
    <x:row r="24" ht="23" customHeight="1">
      <x:c r="A24" s="8"/>
      <x:c r="B24" s="8"/>
      <x:c r="C24" s="9" t="str">
        <x:f>IF(B24="","",IF(COUNTIFS('Roster'!$A$6:$A$205,B24)&lt;&gt;1,"Check roster",IF(INDEX('Roster'!$B$6:$B$205,MATCH(B24,'Roster'!$A$6:$A$205,0))="","Site missing",INDEX('Roster'!$B$6:$B$205,MATCH(B24,'Roster'!$A$6:$A$205,0)))))</x:f>
      </x:c>
      <x:c r="D24" s="6"/>
      <x:c r="E24" s="7"/>
      <x:c r="F24" s="6"/>
      <x:c r="G24" s="6"/>
      <x:c r="H24" s="6"/>
      <x:c r="I24" s="7"/>
      <x:c r="J24" s="6"/>
      <x:c r="K24" s="6"/>
      <x:c r="L24" s="7"/>
      <x:c r="M24" s="7"/>
      <x:c r="N24" s="7"/>
      <x:c r="O24" s="7"/>
      <x:c r="P24" s="7"/>
      <x:c r="Q24" s="6"/>
      <x:c r="R24" s="7"/>
      <x:c r="S24" s="6"/>
      <x:c r="T24" s="6"/>
      <x:c r="U24" s="6"/>
      <x:c r="V24" s="7"/>
      <x:c r="W24" s="6"/>
      <x:c r="X24" s="7"/>
      <x:c r="Y24" s="9" t="str">
        <x:f>IF(A24="","",IF(OR(K24="Complete",K24="Declined",K24="Closed without data"),"Collection closed",IF(OR(I24="",J24=""),"Date unverified",IF(I24&lt;'Dashboard'!$B$4,"Overdue",IF(I24&lt;='Dashboard'!$B$4+'Dashboard'!$B$5,"Due soon","Later")))))</x:f>
      </x:c>
      <x:c r="Z24" s="9" t="str">
        <x:f>IF(A24="","",IF(H24="","Unassigned",IF(AND(L24&lt;&gt;"",M24=""),"Awaiting acknowledgement",IF(AND(R24&lt;&gt;"",R24&lt;'Dashboard'!$B$4),"Action date passed",IF(AND(OR(K24="Not started",K24="In progress",K24="Awaiting return",K24="Received partial",K24="Unable to reach"),OR(Q24="",R24="")),"Next action missing","No handoff flag")))))</x:f>
      </x:c>
      <x:c r="AA24" s="9" t="str">
        <x:f>IF(A24="","",IF(COUNTIFS($A$6:$A$205,A24)&gt;1,"Duplicate task ID",IF(COUNTIFS($B$6:$B$205,B24,$D$6:$D$205,D24,$E$6:$E$205,E24,$F$6:$F$205,F24)&gt;1,"Duplicate cycle/instrument",IF(OR(B24="",C24="Check roster",C24="Site missing",D24="",E24="",F24="",G24="",G24="Needs verification",K24="",S24="",U24="",X24=""),"Missing core fields",IF(AND(OR(K24="Complete",K24="Received partial"),O24=""),"Missing completion date",IF(AND(U24="Verified submitted",OR(V24="",W24="",S24&lt;&gt;"Verified")),"Submission evidence gap",IF(AND(S24="Verified",T24=""),"Source evidence gap","Recorded")))))))</x:f>
      </x:c>
      <x:c r="AB24" s="9" t="str">
        <x:f>IF(A24="","",IF(OR(I24="",J24=""),"Undated",IF(AND(I24&gt;='Dashboard'!$B$6,I24&lt;='Dashboard'!$B$7),"In period","Outside period")))</x:f>
      </x:c>
      <x:c r="AC24" s="9" t="str">
        <x:f>IF(A24="","",IF(AND(OR(K24="Complete",K24="Received partial"),O24&lt;&gt;"",O24&lt;='Dashboard'!$B$4),1,0))</x:f>
      </x:c>
      <x:c r="AD24" s="9" t="str">
        <x:f>IF(A24="","",IF(AND(U24="Verified submitted",V24&lt;&gt;"",V24&lt;='Dashboard'!$B$4,W24&lt;&gt;"",S24="Verified",T24&lt;&gt;""),1,0))</x:f>
      </x:c>
      <x:c r="AE24" s="1"/>
      <x:c r="AF24" s="1"/>
      <x:c r="AG24" s="1"/>
      <x:c r="AH24" s="1"/>
    </x:row>
    <x:row r="25" ht="23" customHeight="1">
      <x:c r="A25" s="8"/>
      <x:c r="B25" s="8"/>
      <x:c r="C25" s="9" t="str">
        <x:f>IF(B25="","",IF(COUNTIFS('Roster'!$A$6:$A$205,B25)&lt;&gt;1,"Check roster",IF(INDEX('Roster'!$B$6:$B$205,MATCH(B25,'Roster'!$A$6:$A$205,0))="","Site missing",INDEX('Roster'!$B$6:$B$205,MATCH(B25,'Roster'!$A$6:$A$205,0)))))</x:f>
      </x:c>
      <x:c r="D25" s="6"/>
      <x:c r="E25" s="7"/>
      <x:c r="F25" s="6"/>
      <x:c r="G25" s="6"/>
      <x:c r="H25" s="6"/>
      <x:c r="I25" s="7"/>
      <x:c r="J25" s="6"/>
      <x:c r="K25" s="6"/>
      <x:c r="L25" s="7"/>
      <x:c r="M25" s="7"/>
      <x:c r="N25" s="7"/>
      <x:c r="O25" s="7"/>
      <x:c r="P25" s="7"/>
      <x:c r="Q25" s="6"/>
      <x:c r="R25" s="7"/>
      <x:c r="S25" s="6"/>
      <x:c r="T25" s="6"/>
      <x:c r="U25" s="6"/>
      <x:c r="V25" s="7"/>
      <x:c r="W25" s="6"/>
      <x:c r="X25" s="7"/>
      <x:c r="Y25" s="9" t="str">
        <x:f>IF(A25="","",IF(OR(K25="Complete",K25="Declined",K25="Closed without data"),"Collection closed",IF(OR(I25="",J25=""),"Date unverified",IF(I25&lt;'Dashboard'!$B$4,"Overdue",IF(I25&lt;='Dashboard'!$B$4+'Dashboard'!$B$5,"Due soon","Later")))))</x:f>
      </x:c>
      <x:c r="Z25" s="9" t="str">
        <x:f>IF(A25="","",IF(H25="","Unassigned",IF(AND(L25&lt;&gt;"",M25=""),"Awaiting acknowledgement",IF(AND(R25&lt;&gt;"",R25&lt;'Dashboard'!$B$4),"Action date passed",IF(AND(OR(K25="Not started",K25="In progress",K25="Awaiting return",K25="Received partial",K25="Unable to reach"),OR(Q25="",R25="")),"Next action missing","No handoff flag")))))</x:f>
      </x:c>
      <x:c r="AA25" s="9" t="str">
        <x:f>IF(A25="","",IF(COUNTIFS($A$6:$A$205,A25)&gt;1,"Duplicate task ID",IF(COUNTIFS($B$6:$B$205,B25,$D$6:$D$205,D25,$E$6:$E$205,E25,$F$6:$F$205,F25)&gt;1,"Duplicate cycle/instrument",IF(OR(B25="",C25="Check roster",C25="Site missing",D25="",E25="",F25="",G25="",G25="Needs verification",K25="",S25="",U25="",X25=""),"Missing core fields",IF(AND(OR(K25="Complete",K25="Received partial"),O25=""),"Missing completion date",IF(AND(U25="Verified submitted",OR(V25="",W25="",S25&lt;&gt;"Verified")),"Submission evidence gap",IF(AND(S25="Verified",T25=""),"Source evidence gap","Recorded")))))))</x:f>
      </x:c>
      <x:c r="AB25" s="9" t="str">
        <x:f>IF(A25="","",IF(OR(I25="",J25=""),"Undated",IF(AND(I25&gt;='Dashboard'!$B$6,I25&lt;='Dashboard'!$B$7),"In period","Outside period")))</x:f>
      </x:c>
      <x:c r="AC25" s="9" t="str">
        <x:f>IF(A25="","",IF(AND(OR(K25="Complete",K25="Received partial"),O25&lt;&gt;"",O25&lt;='Dashboard'!$B$4),1,0))</x:f>
      </x:c>
      <x:c r="AD25" s="9" t="str">
        <x:f>IF(A25="","",IF(AND(U25="Verified submitted",V25&lt;&gt;"",V25&lt;='Dashboard'!$B$4,W25&lt;&gt;"",S25="Verified",T25&lt;&gt;""),1,0))</x:f>
      </x:c>
      <x:c r="AE25" s="1"/>
      <x:c r="AF25" s="1"/>
      <x:c r="AG25" s="1"/>
      <x:c r="AH25" s="1"/>
    </x:row>
    <x:row r="26" ht="23" customHeight="1">
      <x:c r="A26" s="8"/>
      <x:c r="B26" s="8"/>
      <x:c r="C26" s="9" t="str">
        <x:f>IF(B26="","",IF(COUNTIFS('Roster'!$A$6:$A$205,B26)&lt;&gt;1,"Check roster",IF(INDEX('Roster'!$B$6:$B$205,MATCH(B26,'Roster'!$A$6:$A$205,0))="","Site missing",INDEX('Roster'!$B$6:$B$205,MATCH(B26,'Roster'!$A$6:$A$205,0)))))</x:f>
      </x:c>
      <x:c r="D26" s="6"/>
      <x:c r="E26" s="7"/>
      <x:c r="F26" s="6"/>
      <x:c r="G26" s="6"/>
      <x:c r="H26" s="6"/>
      <x:c r="I26" s="7"/>
      <x:c r="J26" s="6"/>
      <x:c r="K26" s="6"/>
      <x:c r="L26" s="7"/>
      <x:c r="M26" s="7"/>
      <x:c r="N26" s="7"/>
      <x:c r="O26" s="7"/>
      <x:c r="P26" s="7"/>
      <x:c r="Q26" s="6"/>
      <x:c r="R26" s="7"/>
      <x:c r="S26" s="6"/>
      <x:c r="T26" s="6"/>
      <x:c r="U26" s="6"/>
      <x:c r="V26" s="7"/>
      <x:c r="W26" s="6"/>
      <x:c r="X26" s="7"/>
      <x:c r="Y26" s="9" t="str">
        <x:f>IF(A26="","",IF(OR(K26="Complete",K26="Declined",K26="Closed without data"),"Collection closed",IF(OR(I26="",J26=""),"Date unverified",IF(I26&lt;'Dashboard'!$B$4,"Overdue",IF(I26&lt;='Dashboard'!$B$4+'Dashboard'!$B$5,"Due soon","Later")))))</x:f>
      </x:c>
      <x:c r="Z26" s="9" t="str">
        <x:f>IF(A26="","",IF(H26="","Unassigned",IF(AND(L26&lt;&gt;"",M26=""),"Awaiting acknowledgement",IF(AND(R26&lt;&gt;"",R26&lt;'Dashboard'!$B$4),"Action date passed",IF(AND(OR(K26="Not started",K26="In progress",K26="Awaiting return",K26="Received partial",K26="Unable to reach"),OR(Q26="",R26="")),"Next action missing","No handoff flag")))))</x:f>
      </x:c>
      <x:c r="AA26" s="9" t="str">
        <x:f>IF(A26="","",IF(COUNTIFS($A$6:$A$205,A26)&gt;1,"Duplicate task ID",IF(COUNTIFS($B$6:$B$205,B26,$D$6:$D$205,D26,$E$6:$E$205,E26,$F$6:$F$205,F26)&gt;1,"Duplicate cycle/instrument",IF(OR(B26="",C26="Check roster",C26="Site missing",D26="",E26="",F26="",G26="",G26="Needs verification",K26="",S26="",U26="",X26=""),"Missing core fields",IF(AND(OR(K26="Complete",K26="Received partial"),O26=""),"Missing completion date",IF(AND(U26="Verified submitted",OR(V26="",W26="",S26&lt;&gt;"Verified")),"Submission evidence gap",IF(AND(S26="Verified",T26=""),"Source evidence gap","Recorded")))))))</x:f>
      </x:c>
      <x:c r="AB26" s="9" t="str">
        <x:f>IF(A26="","",IF(OR(I26="",J26=""),"Undated",IF(AND(I26&gt;='Dashboard'!$B$6,I26&lt;='Dashboard'!$B$7),"In period","Outside period")))</x:f>
      </x:c>
      <x:c r="AC26" s="9" t="str">
        <x:f>IF(A26="","",IF(AND(OR(K26="Complete",K26="Received partial"),O26&lt;&gt;"",O26&lt;='Dashboard'!$B$4),1,0))</x:f>
      </x:c>
      <x:c r="AD26" s="9" t="str">
        <x:f>IF(A26="","",IF(AND(U26="Verified submitted",V26&lt;&gt;"",V26&lt;='Dashboard'!$B$4,W26&lt;&gt;"",S26="Verified",T26&lt;&gt;""),1,0))</x:f>
      </x:c>
      <x:c r="AE26" s="1"/>
      <x:c r="AF26" s="1"/>
      <x:c r="AG26" s="1"/>
      <x:c r="AH26" s="1"/>
    </x:row>
    <x:row r="27" ht="23" customHeight="1">
      <x:c r="A27" s="8"/>
      <x:c r="B27" s="8"/>
      <x:c r="C27" s="9" t="str">
        <x:f>IF(B27="","",IF(COUNTIFS('Roster'!$A$6:$A$205,B27)&lt;&gt;1,"Check roster",IF(INDEX('Roster'!$B$6:$B$205,MATCH(B27,'Roster'!$A$6:$A$205,0))="","Site missing",INDEX('Roster'!$B$6:$B$205,MATCH(B27,'Roster'!$A$6:$A$205,0)))))</x:f>
      </x:c>
      <x:c r="D27" s="6"/>
      <x:c r="E27" s="7"/>
      <x:c r="F27" s="6"/>
      <x:c r="G27" s="6"/>
      <x:c r="H27" s="6"/>
      <x:c r="I27" s="7"/>
      <x:c r="J27" s="6"/>
      <x:c r="K27" s="6"/>
      <x:c r="L27" s="7"/>
      <x:c r="M27" s="7"/>
      <x:c r="N27" s="7"/>
      <x:c r="O27" s="7"/>
      <x:c r="P27" s="7"/>
      <x:c r="Q27" s="6"/>
      <x:c r="R27" s="7"/>
      <x:c r="S27" s="6"/>
      <x:c r="T27" s="6"/>
      <x:c r="U27" s="6"/>
      <x:c r="V27" s="7"/>
      <x:c r="W27" s="6"/>
      <x:c r="X27" s="7"/>
      <x:c r="Y27" s="9" t="str">
        <x:f>IF(A27="","",IF(OR(K27="Complete",K27="Declined",K27="Closed without data"),"Collection closed",IF(OR(I27="",J27=""),"Date unverified",IF(I27&lt;'Dashboard'!$B$4,"Overdue",IF(I27&lt;='Dashboard'!$B$4+'Dashboard'!$B$5,"Due soon","Later")))))</x:f>
      </x:c>
      <x:c r="Z27" s="9" t="str">
        <x:f>IF(A27="","",IF(H27="","Unassigned",IF(AND(L27&lt;&gt;"",M27=""),"Awaiting acknowledgement",IF(AND(R27&lt;&gt;"",R27&lt;'Dashboard'!$B$4),"Action date passed",IF(AND(OR(K27="Not started",K27="In progress",K27="Awaiting return",K27="Received partial",K27="Unable to reach"),OR(Q27="",R27="")),"Next action missing","No handoff flag")))))</x:f>
      </x:c>
      <x:c r="AA27" s="9" t="str">
        <x:f>IF(A27="","",IF(COUNTIFS($A$6:$A$205,A27)&gt;1,"Duplicate task ID",IF(COUNTIFS($B$6:$B$205,B27,$D$6:$D$205,D27,$E$6:$E$205,E27,$F$6:$F$205,F27)&gt;1,"Duplicate cycle/instrument",IF(OR(B27="",C27="Check roster",C27="Site missing",D27="",E27="",F27="",G27="",G27="Needs verification",K27="",S27="",U27="",X27=""),"Missing core fields",IF(AND(OR(K27="Complete",K27="Received partial"),O27=""),"Missing completion date",IF(AND(U27="Verified submitted",OR(V27="",W27="",S27&lt;&gt;"Verified")),"Submission evidence gap",IF(AND(S27="Verified",T27=""),"Source evidence gap","Recorded")))))))</x:f>
      </x:c>
      <x:c r="AB27" s="9" t="str">
        <x:f>IF(A27="","",IF(OR(I27="",J27=""),"Undated",IF(AND(I27&gt;='Dashboard'!$B$6,I27&lt;='Dashboard'!$B$7),"In period","Outside period")))</x:f>
      </x:c>
      <x:c r="AC27" s="9" t="str">
        <x:f>IF(A27="","",IF(AND(OR(K27="Complete",K27="Received partial"),O27&lt;&gt;"",O27&lt;='Dashboard'!$B$4),1,0))</x:f>
      </x:c>
      <x:c r="AD27" s="9" t="str">
        <x:f>IF(A27="","",IF(AND(U27="Verified submitted",V27&lt;&gt;"",V27&lt;='Dashboard'!$B$4,W27&lt;&gt;"",S27="Verified",T27&lt;&gt;""),1,0))</x:f>
      </x:c>
      <x:c r="AE27" s="1"/>
      <x:c r="AF27" s="1"/>
      <x:c r="AG27" s="1"/>
      <x:c r="AH27" s="1"/>
    </x:row>
    <x:row r="28" ht="23" customHeight="1">
      <x:c r="A28" s="8"/>
      <x:c r="B28" s="8"/>
      <x:c r="C28" s="9" t="str">
        <x:f>IF(B28="","",IF(COUNTIFS('Roster'!$A$6:$A$205,B28)&lt;&gt;1,"Check roster",IF(INDEX('Roster'!$B$6:$B$205,MATCH(B28,'Roster'!$A$6:$A$205,0))="","Site missing",INDEX('Roster'!$B$6:$B$205,MATCH(B28,'Roster'!$A$6:$A$205,0)))))</x:f>
      </x:c>
      <x:c r="D28" s="6"/>
      <x:c r="E28" s="7"/>
      <x:c r="F28" s="6"/>
      <x:c r="G28" s="6"/>
      <x:c r="H28" s="6"/>
      <x:c r="I28" s="7"/>
      <x:c r="J28" s="6"/>
      <x:c r="K28" s="6"/>
      <x:c r="L28" s="7"/>
      <x:c r="M28" s="7"/>
      <x:c r="N28" s="7"/>
      <x:c r="O28" s="7"/>
      <x:c r="P28" s="7"/>
      <x:c r="Q28" s="6"/>
      <x:c r="R28" s="7"/>
      <x:c r="S28" s="6"/>
      <x:c r="T28" s="6"/>
      <x:c r="U28" s="6"/>
      <x:c r="V28" s="7"/>
      <x:c r="W28" s="6"/>
      <x:c r="X28" s="7"/>
      <x:c r="Y28" s="9" t="str">
        <x:f>IF(A28="","",IF(OR(K28="Complete",K28="Declined",K28="Closed without data"),"Collection closed",IF(OR(I28="",J28=""),"Date unverified",IF(I28&lt;'Dashboard'!$B$4,"Overdue",IF(I28&lt;='Dashboard'!$B$4+'Dashboard'!$B$5,"Due soon","Later")))))</x:f>
      </x:c>
      <x:c r="Z28" s="9" t="str">
        <x:f>IF(A28="","",IF(H28="","Unassigned",IF(AND(L28&lt;&gt;"",M28=""),"Awaiting acknowledgement",IF(AND(R28&lt;&gt;"",R28&lt;'Dashboard'!$B$4),"Action date passed",IF(AND(OR(K28="Not started",K28="In progress",K28="Awaiting return",K28="Received partial",K28="Unable to reach"),OR(Q28="",R28="")),"Next action missing","No handoff flag")))))</x:f>
      </x:c>
      <x:c r="AA28" s="9" t="str">
        <x:f>IF(A28="","",IF(COUNTIFS($A$6:$A$205,A28)&gt;1,"Duplicate task ID",IF(COUNTIFS($B$6:$B$205,B28,$D$6:$D$205,D28,$E$6:$E$205,E28,$F$6:$F$205,F28)&gt;1,"Duplicate cycle/instrument",IF(OR(B28="",C28="Check roster",C28="Site missing",D28="",E28="",F28="",G28="",G28="Needs verification",K28="",S28="",U28="",X28=""),"Missing core fields",IF(AND(OR(K28="Complete",K28="Received partial"),O28=""),"Missing completion date",IF(AND(U28="Verified submitted",OR(V28="",W28="",S28&lt;&gt;"Verified")),"Submission evidence gap",IF(AND(S28="Verified",T28=""),"Source evidence gap","Recorded")))))))</x:f>
      </x:c>
      <x:c r="AB28" s="9" t="str">
        <x:f>IF(A28="","",IF(OR(I28="",J28=""),"Undated",IF(AND(I28&gt;='Dashboard'!$B$6,I28&lt;='Dashboard'!$B$7),"In period","Outside period")))</x:f>
      </x:c>
      <x:c r="AC28" s="9" t="str">
        <x:f>IF(A28="","",IF(AND(OR(K28="Complete",K28="Received partial"),O28&lt;&gt;"",O28&lt;='Dashboard'!$B$4),1,0))</x:f>
      </x:c>
      <x:c r="AD28" s="9" t="str">
        <x:f>IF(A28="","",IF(AND(U28="Verified submitted",V28&lt;&gt;"",V28&lt;='Dashboard'!$B$4,W28&lt;&gt;"",S28="Verified",T28&lt;&gt;""),1,0))</x:f>
      </x:c>
      <x:c r="AE28" s="1"/>
      <x:c r="AF28" s="1"/>
      <x:c r="AG28" s="1"/>
      <x:c r="AH28" s="1"/>
    </x:row>
    <x:row r="29" ht="23" customHeight="1">
      <x:c r="A29" s="8"/>
      <x:c r="B29" s="8"/>
      <x:c r="C29" s="9" t="str">
        <x:f>IF(B29="","",IF(COUNTIFS('Roster'!$A$6:$A$205,B29)&lt;&gt;1,"Check roster",IF(INDEX('Roster'!$B$6:$B$205,MATCH(B29,'Roster'!$A$6:$A$205,0))="","Site missing",INDEX('Roster'!$B$6:$B$205,MATCH(B29,'Roster'!$A$6:$A$205,0)))))</x:f>
      </x:c>
      <x:c r="D29" s="6"/>
      <x:c r="E29" s="7"/>
      <x:c r="F29" s="6"/>
      <x:c r="G29" s="6"/>
      <x:c r="H29" s="6"/>
      <x:c r="I29" s="7"/>
      <x:c r="J29" s="6"/>
      <x:c r="K29" s="6"/>
      <x:c r="L29" s="7"/>
      <x:c r="M29" s="7"/>
      <x:c r="N29" s="7"/>
      <x:c r="O29" s="7"/>
      <x:c r="P29" s="7"/>
      <x:c r="Q29" s="6"/>
      <x:c r="R29" s="7"/>
      <x:c r="S29" s="6"/>
      <x:c r="T29" s="6"/>
      <x:c r="U29" s="6"/>
      <x:c r="V29" s="7"/>
      <x:c r="W29" s="6"/>
      <x:c r="X29" s="7"/>
      <x:c r="Y29" s="9" t="str">
        <x:f>IF(A29="","",IF(OR(K29="Complete",K29="Declined",K29="Closed without data"),"Collection closed",IF(OR(I29="",J29=""),"Date unverified",IF(I29&lt;'Dashboard'!$B$4,"Overdue",IF(I29&lt;='Dashboard'!$B$4+'Dashboard'!$B$5,"Due soon","Later")))))</x:f>
      </x:c>
      <x:c r="Z29" s="9" t="str">
        <x:f>IF(A29="","",IF(H29="","Unassigned",IF(AND(L29&lt;&gt;"",M29=""),"Awaiting acknowledgement",IF(AND(R29&lt;&gt;"",R29&lt;'Dashboard'!$B$4),"Action date passed",IF(AND(OR(K29="Not started",K29="In progress",K29="Awaiting return",K29="Received partial",K29="Unable to reach"),OR(Q29="",R29="")),"Next action missing","No handoff flag")))))</x:f>
      </x:c>
      <x:c r="AA29" s="9" t="str">
        <x:f>IF(A29="","",IF(COUNTIFS($A$6:$A$205,A29)&gt;1,"Duplicate task ID",IF(COUNTIFS($B$6:$B$205,B29,$D$6:$D$205,D29,$E$6:$E$205,E29,$F$6:$F$205,F29)&gt;1,"Duplicate cycle/instrument",IF(OR(B29="",C29="Check roster",C29="Site missing",D29="",E29="",F29="",G29="",G29="Needs verification",K29="",S29="",U29="",X29=""),"Missing core fields",IF(AND(OR(K29="Complete",K29="Received partial"),O29=""),"Missing completion date",IF(AND(U29="Verified submitted",OR(V29="",W29="",S29&lt;&gt;"Verified")),"Submission evidence gap",IF(AND(S29="Verified",T29=""),"Source evidence gap","Recorded")))))))</x:f>
      </x:c>
      <x:c r="AB29" s="9" t="str">
        <x:f>IF(A29="","",IF(OR(I29="",J29=""),"Undated",IF(AND(I29&gt;='Dashboard'!$B$6,I29&lt;='Dashboard'!$B$7),"In period","Outside period")))</x:f>
      </x:c>
      <x:c r="AC29" s="9" t="str">
        <x:f>IF(A29="","",IF(AND(OR(K29="Complete",K29="Received partial"),O29&lt;&gt;"",O29&lt;='Dashboard'!$B$4),1,0))</x:f>
      </x:c>
      <x:c r="AD29" s="9" t="str">
        <x:f>IF(A29="","",IF(AND(U29="Verified submitted",V29&lt;&gt;"",V29&lt;='Dashboard'!$B$4,W29&lt;&gt;"",S29="Verified",T29&lt;&gt;""),1,0))</x:f>
      </x:c>
      <x:c r="AE29" s="1"/>
      <x:c r="AF29" s="1"/>
      <x:c r="AG29" s="1"/>
      <x:c r="AH29" s="1"/>
    </x:row>
    <x:row r="30" ht="23" customHeight="1">
      <x:c r="A30" s="8"/>
      <x:c r="B30" s="8"/>
      <x:c r="C30" s="9" t="str">
        <x:f>IF(B30="","",IF(COUNTIFS('Roster'!$A$6:$A$205,B30)&lt;&gt;1,"Check roster",IF(INDEX('Roster'!$B$6:$B$205,MATCH(B30,'Roster'!$A$6:$A$205,0))="","Site missing",INDEX('Roster'!$B$6:$B$205,MATCH(B30,'Roster'!$A$6:$A$205,0)))))</x:f>
      </x:c>
      <x:c r="D30" s="6"/>
      <x:c r="E30" s="7"/>
      <x:c r="F30" s="6"/>
      <x:c r="G30" s="6"/>
      <x:c r="H30" s="6"/>
      <x:c r="I30" s="7"/>
      <x:c r="J30" s="6"/>
      <x:c r="K30" s="6"/>
      <x:c r="L30" s="7"/>
      <x:c r="M30" s="7"/>
      <x:c r="N30" s="7"/>
      <x:c r="O30" s="7"/>
      <x:c r="P30" s="7"/>
      <x:c r="Q30" s="6"/>
      <x:c r="R30" s="7"/>
      <x:c r="S30" s="6"/>
      <x:c r="T30" s="6"/>
      <x:c r="U30" s="6"/>
      <x:c r="V30" s="7"/>
      <x:c r="W30" s="6"/>
      <x:c r="X30" s="7"/>
      <x:c r="Y30" s="9" t="str">
        <x:f>IF(A30="","",IF(OR(K30="Complete",K30="Declined",K30="Closed without data"),"Collection closed",IF(OR(I30="",J30=""),"Date unverified",IF(I30&lt;'Dashboard'!$B$4,"Overdue",IF(I30&lt;='Dashboard'!$B$4+'Dashboard'!$B$5,"Due soon","Later")))))</x:f>
      </x:c>
      <x:c r="Z30" s="9" t="str">
        <x:f>IF(A30="","",IF(H30="","Unassigned",IF(AND(L30&lt;&gt;"",M30=""),"Awaiting acknowledgement",IF(AND(R30&lt;&gt;"",R30&lt;'Dashboard'!$B$4),"Action date passed",IF(AND(OR(K30="Not started",K30="In progress",K30="Awaiting return",K30="Received partial",K30="Unable to reach"),OR(Q30="",R30="")),"Next action missing","No handoff flag")))))</x:f>
      </x:c>
      <x:c r="AA30" s="9" t="str">
        <x:f>IF(A30="","",IF(COUNTIFS($A$6:$A$205,A30)&gt;1,"Duplicate task ID",IF(COUNTIFS($B$6:$B$205,B30,$D$6:$D$205,D30,$E$6:$E$205,E30,$F$6:$F$205,F30)&gt;1,"Duplicate cycle/instrument",IF(OR(B30="",C30="Check roster",C30="Site missing",D30="",E30="",F30="",G30="",G30="Needs verification",K30="",S30="",U30="",X30=""),"Missing core fields",IF(AND(OR(K30="Complete",K30="Received partial"),O30=""),"Missing completion date",IF(AND(U30="Verified submitted",OR(V30="",W30="",S30&lt;&gt;"Verified")),"Submission evidence gap",IF(AND(S30="Verified",T30=""),"Source evidence gap","Recorded")))))))</x:f>
      </x:c>
      <x:c r="AB30" s="9" t="str">
        <x:f>IF(A30="","",IF(OR(I30="",J30=""),"Undated",IF(AND(I30&gt;='Dashboard'!$B$6,I30&lt;='Dashboard'!$B$7),"In period","Outside period")))</x:f>
      </x:c>
      <x:c r="AC30" s="9" t="str">
        <x:f>IF(A30="","",IF(AND(OR(K30="Complete",K30="Received partial"),O30&lt;&gt;"",O30&lt;='Dashboard'!$B$4),1,0))</x:f>
      </x:c>
      <x:c r="AD30" s="9" t="str">
        <x:f>IF(A30="","",IF(AND(U30="Verified submitted",V30&lt;&gt;"",V30&lt;='Dashboard'!$B$4,W30&lt;&gt;"",S30="Verified",T30&lt;&gt;""),1,0))</x:f>
      </x:c>
      <x:c r="AE30" s="1"/>
      <x:c r="AF30" s="1"/>
      <x:c r="AG30" s="1"/>
      <x:c r="AH30" s="1"/>
    </x:row>
    <x:row r="31" ht="23" customHeight="1">
      <x:c r="A31" s="8"/>
      <x:c r="B31" s="8"/>
      <x:c r="C31" s="9" t="str">
        <x:f>IF(B31="","",IF(COUNTIFS('Roster'!$A$6:$A$205,B31)&lt;&gt;1,"Check roster",IF(INDEX('Roster'!$B$6:$B$205,MATCH(B31,'Roster'!$A$6:$A$205,0))="","Site missing",INDEX('Roster'!$B$6:$B$205,MATCH(B31,'Roster'!$A$6:$A$205,0)))))</x:f>
      </x:c>
      <x:c r="D31" s="6"/>
      <x:c r="E31" s="7"/>
      <x:c r="F31" s="6"/>
      <x:c r="G31" s="6"/>
      <x:c r="H31" s="6"/>
      <x:c r="I31" s="7"/>
      <x:c r="J31" s="6"/>
      <x:c r="K31" s="6"/>
      <x:c r="L31" s="7"/>
      <x:c r="M31" s="7"/>
      <x:c r="N31" s="7"/>
      <x:c r="O31" s="7"/>
      <x:c r="P31" s="7"/>
      <x:c r="Q31" s="6"/>
      <x:c r="R31" s="7"/>
      <x:c r="S31" s="6"/>
      <x:c r="T31" s="6"/>
      <x:c r="U31" s="6"/>
      <x:c r="V31" s="7"/>
      <x:c r="W31" s="6"/>
      <x:c r="X31" s="7"/>
      <x:c r="Y31" s="9" t="str">
        <x:f>IF(A31="","",IF(OR(K31="Complete",K31="Declined",K31="Closed without data"),"Collection closed",IF(OR(I31="",J31=""),"Date unverified",IF(I31&lt;'Dashboard'!$B$4,"Overdue",IF(I31&lt;='Dashboard'!$B$4+'Dashboard'!$B$5,"Due soon","Later")))))</x:f>
      </x:c>
      <x:c r="Z31" s="9" t="str">
        <x:f>IF(A31="","",IF(H31="","Unassigned",IF(AND(L31&lt;&gt;"",M31=""),"Awaiting acknowledgement",IF(AND(R31&lt;&gt;"",R31&lt;'Dashboard'!$B$4),"Action date passed",IF(AND(OR(K31="Not started",K31="In progress",K31="Awaiting return",K31="Received partial",K31="Unable to reach"),OR(Q31="",R31="")),"Next action missing","No handoff flag")))))</x:f>
      </x:c>
      <x:c r="AA31" s="9" t="str">
        <x:f>IF(A31="","",IF(COUNTIFS($A$6:$A$205,A31)&gt;1,"Duplicate task ID",IF(COUNTIFS($B$6:$B$205,B31,$D$6:$D$205,D31,$E$6:$E$205,E31,$F$6:$F$205,F31)&gt;1,"Duplicate cycle/instrument",IF(OR(B31="",C31="Check roster",C31="Site missing",D31="",E31="",F31="",G31="",G31="Needs verification",K31="",S31="",U31="",X31=""),"Missing core fields",IF(AND(OR(K31="Complete",K31="Received partial"),O31=""),"Missing completion date",IF(AND(U31="Verified submitted",OR(V31="",W31="",S31&lt;&gt;"Verified")),"Submission evidence gap",IF(AND(S31="Verified",T31=""),"Source evidence gap","Recorded")))))))</x:f>
      </x:c>
      <x:c r="AB31" s="9" t="str">
        <x:f>IF(A31="","",IF(OR(I31="",J31=""),"Undated",IF(AND(I31&gt;='Dashboard'!$B$6,I31&lt;='Dashboard'!$B$7),"In period","Outside period")))</x:f>
      </x:c>
      <x:c r="AC31" s="9" t="str">
        <x:f>IF(A31="","",IF(AND(OR(K31="Complete",K31="Received partial"),O31&lt;&gt;"",O31&lt;='Dashboard'!$B$4),1,0))</x:f>
      </x:c>
      <x:c r="AD31" s="9" t="str">
        <x:f>IF(A31="","",IF(AND(U31="Verified submitted",V31&lt;&gt;"",V31&lt;='Dashboard'!$B$4,W31&lt;&gt;"",S31="Verified",T31&lt;&gt;""),1,0))</x:f>
      </x:c>
      <x:c r="AE31" s="1"/>
      <x:c r="AF31" s="1"/>
      <x:c r="AG31" s="1"/>
      <x:c r="AH31" s="1"/>
    </x:row>
    <x:row r="32" ht="23" customHeight="1">
      <x:c r="A32" s="8"/>
      <x:c r="B32" s="8"/>
      <x:c r="C32" s="9" t="str">
        <x:f>IF(B32="","",IF(COUNTIFS('Roster'!$A$6:$A$205,B32)&lt;&gt;1,"Check roster",IF(INDEX('Roster'!$B$6:$B$205,MATCH(B32,'Roster'!$A$6:$A$205,0))="","Site missing",INDEX('Roster'!$B$6:$B$205,MATCH(B32,'Roster'!$A$6:$A$205,0)))))</x:f>
      </x:c>
      <x:c r="D32" s="6"/>
      <x:c r="E32" s="7"/>
      <x:c r="F32" s="6"/>
      <x:c r="G32" s="6"/>
      <x:c r="H32" s="6"/>
      <x:c r="I32" s="7"/>
      <x:c r="J32" s="6"/>
      <x:c r="K32" s="6"/>
      <x:c r="L32" s="7"/>
      <x:c r="M32" s="7"/>
      <x:c r="N32" s="7"/>
      <x:c r="O32" s="7"/>
      <x:c r="P32" s="7"/>
      <x:c r="Q32" s="6"/>
      <x:c r="R32" s="7"/>
      <x:c r="S32" s="6"/>
      <x:c r="T32" s="6"/>
      <x:c r="U32" s="6"/>
      <x:c r="V32" s="7"/>
      <x:c r="W32" s="6"/>
      <x:c r="X32" s="7"/>
      <x:c r="Y32" s="9" t="str">
        <x:f>IF(A32="","",IF(OR(K32="Complete",K32="Declined",K32="Closed without data"),"Collection closed",IF(OR(I32="",J32=""),"Date unverified",IF(I32&lt;'Dashboard'!$B$4,"Overdue",IF(I32&lt;='Dashboard'!$B$4+'Dashboard'!$B$5,"Due soon","Later")))))</x:f>
      </x:c>
      <x:c r="Z32" s="9" t="str">
        <x:f>IF(A32="","",IF(H32="","Unassigned",IF(AND(L32&lt;&gt;"",M32=""),"Awaiting acknowledgement",IF(AND(R32&lt;&gt;"",R32&lt;'Dashboard'!$B$4),"Action date passed",IF(AND(OR(K32="Not started",K32="In progress",K32="Awaiting return",K32="Received partial",K32="Unable to reach"),OR(Q32="",R32="")),"Next action missing","No handoff flag")))))</x:f>
      </x:c>
      <x:c r="AA32" s="9" t="str">
        <x:f>IF(A32="","",IF(COUNTIFS($A$6:$A$205,A32)&gt;1,"Duplicate task ID",IF(COUNTIFS($B$6:$B$205,B32,$D$6:$D$205,D32,$E$6:$E$205,E32,$F$6:$F$205,F32)&gt;1,"Duplicate cycle/instrument",IF(OR(B32="",C32="Check roster",C32="Site missing",D32="",E32="",F32="",G32="",G32="Needs verification",K32="",S32="",U32="",X32=""),"Missing core fields",IF(AND(OR(K32="Complete",K32="Received partial"),O32=""),"Missing completion date",IF(AND(U32="Verified submitted",OR(V32="",W32="",S32&lt;&gt;"Verified")),"Submission evidence gap",IF(AND(S32="Verified",T32=""),"Source evidence gap","Recorded")))))))</x:f>
      </x:c>
      <x:c r="AB32" s="9" t="str">
        <x:f>IF(A32="","",IF(OR(I32="",J32=""),"Undated",IF(AND(I32&gt;='Dashboard'!$B$6,I32&lt;='Dashboard'!$B$7),"In period","Outside period")))</x:f>
      </x:c>
      <x:c r="AC32" s="9" t="str">
        <x:f>IF(A32="","",IF(AND(OR(K32="Complete",K32="Received partial"),O32&lt;&gt;"",O32&lt;='Dashboard'!$B$4),1,0))</x:f>
      </x:c>
      <x:c r="AD32" s="9" t="str">
        <x:f>IF(A32="","",IF(AND(U32="Verified submitted",V32&lt;&gt;"",V32&lt;='Dashboard'!$B$4,W32&lt;&gt;"",S32="Verified",T32&lt;&gt;""),1,0))</x:f>
      </x:c>
      <x:c r="AE32" s="1"/>
      <x:c r="AF32" s="1"/>
      <x:c r="AG32" s="1"/>
      <x:c r="AH32" s="1"/>
    </x:row>
    <x:row r="33" ht="23" customHeight="1">
      <x:c r="A33" s="8"/>
      <x:c r="B33" s="8"/>
      <x:c r="C33" s="9" t="str">
        <x:f>IF(B33="","",IF(COUNTIFS('Roster'!$A$6:$A$205,B33)&lt;&gt;1,"Check roster",IF(INDEX('Roster'!$B$6:$B$205,MATCH(B33,'Roster'!$A$6:$A$205,0))="","Site missing",INDEX('Roster'!$B$6:$B$205,MATCH(B33,'Roster'!$A$6:$A$205,0)))))</x:f>
      </x:c>
      <x:c r="D33" s="6"/>
      <x:c r="E33" s="7"/>
      <x:c r="F33" s="6"/>
      <x:c r="G33" s="6"/>
      <x:c r="H33" s="6"/>
      <x:c r="I33" s="7"/>
      <x:c r="J33" s="6"/>
      <x:c r="K33" s="6"/>
      <x:c r="L33" s="7"/>
      <x:c r="M33" s="7"/>
      <x:c r="N33" s="7"/>
      <x:c r="O33" s="7"/>
      <x:c r="P33" s="7"/>
      <x:c r="Q33" s="6"/>
      <x:c r="R33" s="7"/>
      <x:c r="S33" s="6"/>
      <x:c r="T33" s="6"/>
      <x:c r="U33" s="6"/>
      <x:c r="V33" s="7"/>
      <x:c r="W33" s="6"/>
      <x:c r="X33" s="7"/>
      <x:c r="Y33" s="9" t="str">
        <x:f>IF(A33="","",IF(OR(K33="Complete",K33="Declined",K33="Closed without data"),"Collection closed",IF(OR(I33="",J33=""),"Date unverified",IF(I33&lt;'Dashboard'!$B$4,"Overdue",IF(I33&lt;='Dashboard'!$B$4+'Dashboard'!$B$5,"Due soon","Later")))))</x:f>
      </x:c>
      <x:c r="Z33" s="9" t="str">
        <x:f>IF(A33="","",IF(H33="","Unassigned",IF(AND(L33&lt;&gt;"",M33=""),"Awaiting acknowledgement",IF(AND(R33&lt;&gt;"",R33&lt;'Dashboard'!$B$4),"Action date passed",IF(AND(OR(K33="Not started",K33="In progress",K33="Awaiting return",K33="Received partial",K33="Unable to reach"),OR(Q33="",R33="")),"Next action missing","No handoff flag")))))</x:f>
      </x:c>
      <x:c r="AA33" s="9" t="str">
        <x:f>IF(A33="","",IF(COUNTIFS($A$6:$A$205,A33)&gt;1,"Duplicate task ID",IF(COUNTIFS($B$6:$B$205,B33,$D$6:$D$205,D33,$E$6:$E$205,E33,$F$6:$F$205,F33)&gt;1,"Duplicate cycle/instrument",IF(OR(B33="",C33="Check roster",C33="Site missing",D33="",E33="",F33="",G33="",G33="Needs verification",K33="",S33="",U33="",X33=""),"Missing core fields",IF(AND(OR(K33="Complete",K33="Received partial"),O33=""),"Missing completion date",IF(AND(U33="Verified submitted",OR(V33="",W33="",S33&lt;&gt;"Verified")),"Submission evidence gap",IF(AND(S33="Verified",T33=""),"Source evidence gap","Recorded")))))))</x:f>
      </x:c>
      <x:c r="AB33" s="9" t="str">
        <x:f>IF(A33="","",IF(OR(I33="",J33=""),"Undated",IF(AND(I33&gt;='Dashboard'!$B$6,I33&lt;='Dashboard'!$B$7),"In period","Outside period")))</x:f>
      </x:c>
      <x:c r="AC33" s="9" t="str">
        <x:f>IF(A33="","",IF(AND(OR(K33="Complete",K33="Received partial"),O33&lt;&gt;"",O33&lt;='Dashboard'!$B$4),1,0))</x:f>
      </x:c>
      <x:c r="AD33" s="9" t="str">
        <x:f>IF(A33="","",IF(AND(U33="Verified submitted",V33&lt;&gt;"",V33&lt;='Dashboard'!$B$4,W33&lt;&gt;"",S33="Verified",T33&lt;&gt;""),1,0))</x:f>
      </x:c>
      <x:c r="AE33" s="1"/>
      <x:c r="AF33" s="1"/>
      <x:c r="AG33" s="1"/>
      <x:c r="AH33" s="1"/>
    </x:row>
    <x:row r="34" ht="23" customHeight="1">
      <x:c r="A34" s="8"/>
      <x:c r="B34" s="8"/>
      <x:c r="C34" s="9" t="str">
        <x:f>IF(B34="","",IF(COUNTIFS('Roster'!$A$6:$A$205,B34)&lt;&gt;1,"Check roster",IF(INDEX('Roster'!$B$6:$B$205,MATCH(B34,'Roster'!$A$6:$A$205,0))="","Site missing",INDEX('Roster'!$B$6:$B$205,MATCH(B34,'Roster'!$A$6:$A$205,0)))))</x:f>
      </x:c>
      <x:c r="D34" s="6"/>
      <x:c r="E34" s="7"/>
      <x:c r="F34" s="6"/>
      <x:c r="G34" s="6"/>
      <x:c r="H34" s="6"/>
      <x:c r="I34" s="7"/>
      <x:c r="J34" s="6"/>
      <x:c r="K34" s="6"/>
      <x:c r="L34" s="7"/>
      <x:c r="M34" s="7"/>
      <x:c r="N34" s="7"/>
      <x:c r="O34" s="7"/>
      <x:c r="P34" s="7"/>
      <x:c r="Q34" s="6"/>
      <x:c r="R34" s="7"/>
      <x:c r="S34" s="6"/>
      <x:c r="T34" s="6"/>
      <x:c r="U34" s="6"/>
      <x:c r="V34" s="7"/>
      <x:c r="W34" s="6"/>
      <x:c r="X34" s="7"/>
      <x:c r="Y34" s="9" t="str">
        <x:f>IF(A34="","",IF(OR(K34="Complete",K34="Declined",K34="Closed without data"),"Collection closed",IF(OR(I34="",J34=""),"Date unverified",IF(I34&lt;'Dashboard'!$B$4,"Overdue",IF(I34&lt;='Dashboard'!$B$4+'Dashboard'!$B$5,"Due soon","Later")))))</x:f>
      </x:c>
      <x:c r="Z34" s="9" t="str">
        <x:f>IF(A34="","",IF(H34="","Unassigned",IF(AND(L34&lt;&gt;"",M34=""),"Awaiting acknowledgement",IF(AND(R34&lt;&gt;"",R34&lt;'Dashboard'!$B$4),"Action date passed",IF(AND(OR(K34="Not started",K34="In progress",K34="Awaiting return",K34="Received partial",K34="Unable to reach"),OR(Q34="",R34="")),"Next action missing","No handoff flag")))))</x:f>
      </x:c>
      <x:c r="AA34" s="9" t="str">
        <x:f>IF(A34="","",IF(COUNTIFS($A$6:$A$205,A34)&gt;1,"Duplicate task ID",IF(COUNTIFS($B$6:$B$205,B34,$D$6:$D$205,D34,$E$6:$E$205,E34,$F$6:$F$205,F34)&gt;1,"Duplicate cycle/instrument",IF(OR(B34="",C34="Check roster",C34="Site missing",D34="",E34="",F34="",G34="",G34="Needs verification",K34="",S34="",U34="",X34=""),"Missing core fields",IF(AND(OR(K34="Complete",K34="Received partial"),O34=""),"Missing completion date",IF(AND(U34="Verified submitted",OR(V34="",W34="",S34&lt;&gt;"Verified")),"Submission evidence gap",IF(AND(S34="Verified",T34=""),"Source evidence gap","Recorded")))))))</x:f>
      </x:c>
      <x:c r="AB34" s="9" t="str">
        <x:f>IF(A34="","",IF(OR(I34="",J34=""),"Undated",IF(AND(I34&gt;='Dashboard'!$B$6,I34&lt;='Dashboard'!$B$7),"In period","Outside period")))</x:f>
      </x:c>
      <x:c r="AC34" s="9" t="str">
        <x:f>IF(A34="","",IF(AND(OR(K34="Complete",K34="Received partial"),O34&lt;&gt;"",O34&lt;='Dashboard'!$B$4),1,0))</x:f>
      </x:c>
      <x:c r="AD34" s="9" t="str">
        <x:f>IF(A34="","",IF(AND(U34="Verified submitted",V34&lt;&gt;"",V34&lt;='Dashboard'!$B$4,W34&lt;&gt;"",S34="Verified",T34&lt;&gt;""),1,0))</x:f>
      </x:c>
      <x:c r="AE34" s="1"/>
      <x:c r="AF34" s="1"/>
      <x:c r="AG34" s="1"/>
      <x:c r="AH34" s="1"/>
    </x:row>
    <x:row r="35" ht="23" customHeight="1">
      <x:c r="A35" s="8"/>
      <x:c r="B35" s="8"/>
      <x:c r="C35" s="9" t="str">
        <x:f>IF(B35="","",IF(COUNTIFS('Roster'!$A$6:$A$205,B35)&lt;&gt;1,"Check roster",IF(INDEX('Roster'!$B$6:$B$205,MATCH(B35,'Roster'!$A$6:$A$205,0))="","Site missing",INDEX('Roster'!$B$6:$B$205,MATCH(B35,'Roster'!$A$6:$A$205,0)))))</x:f>
      </x:c>
      <x:c r="D35" s="6"/>
      <x:c r="E35" s="7"/>
      <x:c r="F35" s="6"/>
      <x:c r="G35" s="6"/>
      <x:c r="H35" s="6"/>
      <x:c r="I35" s="7"/>
      <x:c r="J35" s="6"/>
      <x:c r="K35" s="6"/>
      <x:c r="L35" s="7"/>
      <x:c r="M35" s="7"/>
      <x:c r="N35" s="7"/>
      <x:c r="O35" s="7"/>
      <x:c r="P35" s="7"/>
      <x:c r="Q35" s="6"/>
      <x:c r="R35" s="7"/>
      <x:c r="S35" s="6"/>
      <x:c r="T35" s="6"/>
      <x:c r="U35" s="6"/>
      <x:c r="V35" s="7"/>
      <x:c r="W35" s="6"/>
      <x:c r="X35" s="7"/>
      <x:c r="Y35" s="9" t="str">
        <x:f>IF(A35="","",IF(OR(K35="Complete",K35="Declined",K35="Closed without data"),"Collection closed",IF(OR(I35="",J35=""),"Date unverified",IF(I35&lt;'Dashboard'!$B$4,"Overdue",IF(I35&lt;='Dashboard'!$B$4+'Dashboard'!$B$5,"Due soon","Later")))))</x:f>
      </x:c>
      <x:c r="Z35" s="9" t="str">
        <x:f>IF(A35="","",IF(H35="","Unassigned",IF(AND(L35&lt;&gt;"",M35=""),"Awaiting acknowledgement",IF(AND(R35&lt;&gt;"",R35&lt;'Dashboard'!$B$4),"Action date passed",IF(AND(OR(K35="Not started",K35="In progress",K35="Awaiting return",K35="Received partial",K35="Unable to reach"),OR(Q35="",R35="")),"Next action missing","No handoff flag")))))</x:f>
      </x:c>
      <x:c r="AA35" s="9" t="str">
        <x:f>IF(A35="","",IF(COUNTIFS($A$6:$A$205,A35)&gt;1,"Duplicate task ID",IF(COUNTIFS($B$6:$B$205,B35,$D$6:$D$205,D35,$E$6:$E$205,E35,$F$6:$F$205,F35)&gt;1,"Duplicate cycle/instrument",IF(OR(B35="",C35="Check roster",C35="Site missing",D35="",E35="",F35="",G35="",G35="Needs verification",K35="",S35="",U35="",X35=""),"Missing core fields",IF(AND(OR(K35="Complete",K35="Received partial"),O35=""),"Missing completion date",IF(AND(U35="Verified submitted",OR(V35="",W35="",S35&lt;&gt;"Verified")),"Submission evidence gap",IF(AND(S35="Verified",T35=""),"Source evidence gap","Recorded")))))))</x:f>
      </x:c>
      <x:c r="AB35" s="9" t="str">
        <x:f>IF(A35="","",IF(OR(I35="",J35=""),"Undated",IF(AND(I35&gt;='Dashboard'!$B$6,I35&lt;='Dashboard'!$B$7),"In period","Outside period")))</x:f>
      </x:c>
      <x:c r="AC35" s="9" t="str">
        <x:f>IF(A35="","",IF(AND(OR(K35="Complete",K35="Received partial"),O35&lt;&gt;"",O35&lt;='Dashboard'!$B$4),1,0))</x:f>
      </x:c>
      <x:c r="AD35" s="9" t="str">
        <x:f>IF(A35="","",IF(AND(U35="Verified submitted",V35&lt;&gt;"",V35&lt;='Dashboard'!$B$4,W35&lt;&gt;"",S35="Verified",T35&lt;&gt;""),1,0))</x:f>
      </x:c>
      <x:c r="AE35" s="1"/>
      <x:c r="AF35" s="1"/>
      <x:c r="AG35" s="1"/>
      <x:c r="AH35" s="1"/>
    </x:row>
    <x:row r="36" ht="23" customHeight="1">
      <x:c r="A36" s="8"/>
      <x:c r="B36" s="8"/>
      <x:c r="C36" s="9" t="str">
        <x:f>IF(B36="","",IF(COUNTIFS('Roster'!$A$6:$A$205,B36)&lt;&gt;1,"Check roster",IF(INDEX('Roster'!$B$6:$B$205,MATCH(B36,'Roster'!$A$6:$A$205,0))="","Site missing",INDEX('Roster'!$B$6:$B$205,MATCH(B36,'Roster'!$A$6:$A$205,0)))))</x:f>
      </x:c>
      <x:c r="D36" s="6"/>
      <x:c r="E36" s="7"/>
      <x:c r="F36" s="6"/>
      <x:c r="G36" s="6"/>
      <x:c r="H36" s="6"/>
      <x:c r="I36" s="7"/>
      <x:c r="J36" s="6"/>
      <x:c r="K36" s="6"/>
      <x:c r="L36" s="7"/>
      <x:c r="M36" s="7"/>
      <x:c r="N36" s="7"/>
      <x:c r="O36" s="7"/>
      <x:c r="P36" s="7"/>
      <x:c r="Q36" s="6"/>
      <x:c r="R36" s="7"/>
      <x:c r="S36" s="6"/>
      <x:c r="T36" s="6"/>
      <x:c r="U36" s="6"/>
      <x:c r="V36" s="7"/>
      <x:c r="W36" s="6"/>
      <x:c r="X36" s="7"/>
      <x:c r="Y36" s="9" t="str">
        <x:f>IF(A36="","",IF(OR(K36="Complete",K36="Declined",K36="Closed without data"),"Collection closed",IF(OR(I36="",J36=""),"Date unverified",IF(I36&lt;'Dashboard'!$B$4,"Overdue",IF(I36&lt;='Dashboard'!$B$4+'Dashboard'!$B$5,"Due soon","Later")))))</x:f>
      </x:c>
      <x:c r="Z36" s="9" t="str">
        <x:f>IF(A36="","",IF(H36="","Unassigned",IF(AND(L36&lt;&gt;"",M36=""),"Awaiting acknowledgement",IF(AND(R36&lt;&gt;"",R36&lt;'Dashboard'!$B$4),"Action date passed",IF(AND(OR(K36="Not started",K36="In progress",K36="Awaiting return",K36="Received partial",K36="Unable to reach"),OR(Q36="",R36="")),"Next action missing","No handoff flag")))))</x:f>
      </x:c>
      <x:c r="AA36" s="9" t="str">
        <x:f>IF(A36="","",IF(COUNTIFS($A$6:$A$205,A36)&gt;1,"Duplicate task ID",IF(COUNTIFS($B$6:$B$205,B36,$D$6:$D$205,D36,$E$6:$E$205,E36,$F$6:$F$205,F36)&gt;1,"Duplicate cycle/instrument",IF(OR(B36="",C36="Check roster",C36="Site missing",D36="",E36="",F36="",G36="",G36="Needs verification",K36="",S36="",U36="",X36=""),"Missing core fields",IF(AND(OR(K36="Complete",K36="Received partial"),O36=""),"Missing completion date",IF(AND(U36="Verified submitted",OR(V36="",W36="",S36&lt;&gt;"Verified")),"Submission evidence gap",IF(AND(S36="Verified",T36=""),"Source evidence gap","Recorded")))))))</x:f>
      </x:c>
      <x:c r="AB36" s="9" t="str">
        <x:f>IF(A36="","",IF(OR(I36="",J36=""),"Undated",IF(AND(I36&gt;='Dashboard'!$B$6,I36&lt;='Dashboard'!$B$7),"In period","Outside period")))</x:f>
      </x:c>
      <x:c r="AC36" s="9" t="str">
        <x:f>IF(A36="","",IF(AND(OR(K36="Complete",K36="Received partial"),O36&lt;&gt;"",O36&lt;='Dashboard'!$B$4),1,0))</x:f>
      </x:c>
      <x:c r="AD36" s="9" t="str">
        <x:f>IF(A36="","",IF(AND(U36="Verified submitted",V36&lt;&gt;"",V36&lt;='Dashboard'!$B$4,W36&lt;&gt;"",S36="Verified",T36&lt;&gt;""),1,0))</x:f>
      </x:c>
      <x:c r="AE36" s="1"/>
      <x:c r="AF36" s="1"/>
      <x:c r="AG36" s="1"/>
      <x:c r="AH36" s="1"/>
    </x:row>
    <x:row r="37" ht="23" customHeight="1">
      <x:c r="A37" s="8"/>
      <x:c r="B37" s="8"/>
      <x:c r="C37" s="9" t="str">
        <x:f>IF(B37="","",IF(COUNTIFS('Roster'!$A$6:$A$205,B37)&lt;&gt;1,"Check roster",IF(INDEX('Roster'!$B$6:$B$205,MATCH(B37,'Roster'!$A$6:$A$205,0))="","Site missing",INDEX('Roster'!$B$6:$B$205,MATCH(B37,'Roster'!$A$6:$A$205,0)))))</x:f>
      </x:c>
      <x:c r="D37" s="6"/>
      <x:c r="E37" s="7"/>
      <x:c r="F37" s="6"/>
      <x:c r="G37" s="6"/>
      <x:c r="H37" s="6"/>
      <x:c r="I37" s="7"/>
      <x:c r="J37" s="6"/>
      <x:c r="K37" s="6"/>
      <x:c r="L37" s="7"/>
      <x:c r="M37" s="7"/>
      <x:c r="N37" s="7"/>
      <x:c r="O37" s="7"/>
      <x:c r="P37" s="7"/>
      <x:c r="Q37" s="6"/>
      <x:c r="R37" s="7"/>
      <x:c r="S37" s="6"/>
      <x:c r="T37" s="6"/>
      <x:c r="U37" s="6"/>
      <x:c r="V37" s="7"/>
      <x:c r="W37" s="6"/>
      <x:c r="X37" s="7"/>
      <x:c r="Y37" s="9" t="str">
        <x:f>IF(A37="","",IF(OR(K37="Complete",K37="Declined",K37="Closed without data"),"Collection closed",IF(OR(I37="",J37=""),"Date unverified",IF(I37&lt;'Dashboard'!$B$4,"Overdue",IF(I37&lt;='Dashboard'!$B$4+'Dashboard'!$B$5,"Due soon","Later")))))</x:f>
      </x:c>
      <x:c r="Z37" s="9" t="str">
        <x:f>IF(A37="","",IF(H37="","Unassigned",IF(AND(L37&lt;&gt;"",M37=""),"Awaiting acknowledgement",IF(AND(R37&lt;&gt;"",R37&lt;'Dashboard'!$B$4),"Action date passed",IF(AND(OR(K37="Not started",K37="In progress",K37="Awaiting return",K37="Received partial",K37="Unable to reach"),OR(Q37="",R37="")),"Next action missing","No handoff flag")))))</x:f>
      </x:c>
      <x:c r="AA37" s="9" t="str">
        <x:f>IF(A37="","",IF(COUNTIFS($A$6:$A$205,A37)&gt;1,"Duplicate task ID",IF(COUNTIFS($B$6:$B$205,B37,$D$6:$D$205,D37,$E$6:$E$205,E37,$F$6:$F$205,F37)&gt;1,"Duplicate cycle/instrument",IF(OR(B37="",C37="Check roster",C37="Site missing",D37="",E37="",F37="",G37="",G37="Needs verification",K37="",S37="",U37="",X37=""),"Missing core fields",IF(AND(OR(K37="Complete",K37="Received partial"),O37=""),"Missing completion date",IF(AND(U37="Verified submitted",OR(V37="",W37="",S37&lt;&gt;"Verified")),"Submission evidence gap",IF(AND(S37="Verified",T37=""),"Source evidence gap","Recorded")))))))</x:f>
      </x:c>
      <x:c r="AB37" s="9" t="str">
        <x:f>IF(A37="","",IF(OR(I37="",J37=""),"Undated",IF(AND(I37&gt;='Dashboard'!$B$6,I37&lt;='Dashboard'!$B$7),"In period","Outside period")))</x:f>
      </x:c>
      <x:c r="AC37" s="9" t="str">
        <x:f>IF(A37="","",IF(AND(OR(K37="Complete",K37="Received partial"),O37&lt;&gt;"",O37&lt;='Dashboard'!$B$4),1,0))</x:f>
      </x:c>
      <x:c r="AD37" s="9" t="str">
        <x:f>IF(A37="","",IF(AND(U37="Verified submitted",V37&lt;&gt;"",V37&lt;='Dashboard'!$B$4,W37&lt;&gt;"",S37="Verified",T37&lt;&gt;""),1,0))</x:f>
      </x:c>
      <x:c r="AE37" s="1"/>
      <x:c r="AF37" s="1"/>
      <x:c r="AG37" s="1"/>
      <x:c r="AH37" s="1"/>
    </x:row>
    <x:row r="38" ht="23" customHeight="1">
      <x:c r="A38" s="8"/>
      <x:c r="B38" s="8"/>
      <x:c r="C38" s="9" t="str">
        <x:f>IF(B38="","",IF(COUNTIFS('Roster'!$A$6:$A$205,B38)&lt;&gt;1,"Check roster",IF(INDEX('Roster'!$B$6:$B$205,MATCH(B38,'Roster'!$A$6:$A$205,0))="","Site missing",INDEX('Roster'!$B$6:$B$205,MATCH(B38,'Roster'!$A$6:$A$205,0)))))</x:f>
      </x:c>
      <x:c r="D38" s="6"/>
      <x:c r="E38" s="7"/>
      <x:c r="F38" s="6"/>
      <x:c r="G38" s="6"/>
      <x:c r="H38" s="6"/>
      <x:c r="I38" s="7"/>
      <x:c r="J38" s="6"/>
      <x:c r="K38" s="6"/>
      <x:c r="L38" s="7"/>
      <x:c r="M38" s="7"/>
      <x:c r="N38" s="7"/>
      <x:c r="O38" s="7"/>
      <x:c r="P38" s="7"/>
      <x:c r="Q38" s="6"/>
      <x:c r="R38" s="7"/>
      <x:c r="S38" s="6"/>
      <x:c r="T38" s="6"/>
      <x:c r="U38" s="6"/>
      <x:c r="V38" s="7"/>
      <x:c r="W38" s="6"/>
      <x:c r="X38" s="7"/>
      <x:c r="Y38" s="9" t="str">
        <x:f>IF(A38="","",IF(OR(K38="Complete",K38="Declined",K38="Closed without data"),"Collection closed",IF(OR(I38="",J38=""),"Date unverified",IF(I38&lt;'Dashboard'!$B$4,"Overdue",IF(I38&lt;='Dashboard'!$B$4+'Dashboard'!$B$5,"Due soon","Later")))))</x:f>
      </x:c>
      <x:c r="Z38" s="9" t="str">
        <x:f>IF(A38="","",IF(H38="","Unassigned",IF(AND(L38&lt;&gt;"",M38=""),"Awaiting acknowledgement",IF(AND(R38&lt;&gt;"",R38&lt;'Dashboard'!$B$4),"Action date passed",IF(AND(OR(K38="Not started",K38="In progress",K38="Awaiting return",K38="Received partial",K38="Unable to reach"),OR(Q38="",R38="")),"Next action missing","No handoff flag")))))</x:f>
      </x:c>
      <x:c r="AA38" s="9" t="str">
        <x:f>IF(A38="","",IF(COUNTIFS($A$6:$A$205,A38)&gt;1,"Duplicate task ID",IF(COUNTIFS($B$6:$B$205,B38,$D$6:$D$205,D38,$E$6:$E$205,E38,$F$6:$F$205,F38)&gt;1,"Duplicate cycle/instrument",IF(OR(B38="",C38="Check roster",C38="Site missing",D38="",E38="",F38="",G38="",G38="Needs verification",K38="",S38="",U38="",X38=""),"Missing core fields",IF(AND(OR(K38="Complete",K38="Received partial"),O38=""),"Missing completion date",IF(AND(U38="Verified submitted",OR(V38="",W38="",S38&lt;&gt;"Verified")),"Submission evidence gap",IF(AND(S38="Verified",T38=""),"Source evidence gap","Recorded")))))))</x:f>
      </x:c>
      <x:c r="AB38" s="9" t="str">
        <x:f>IF(A38="","",IF(OR(I38="",J38=""),"Undated",IF(AND(I38&gt;='Dashboard'!$B$6,I38&lt;='Dashboard'!$B$7),"In period","Outside period")))</x:f>
      </x:c>
      <x:c r="AC38" s="9" t="str">
        <x:f>IF(A38="","",IF(AND(OR(K38="Complete",K38="Received partial"),O38&lt;&gt;"",O38&lt;='Dashboard'!$B$4),1,0))</x:f>
      </x:c>
      <x:c r="AD38" s="9" t="str">
        <x:f>IF(A38="","",IF(AND(U38="Verified submitted",V38&lt;&gt;"",V38&lt;='Dashboard'!$B$4,W38&lt;&gt;"",S38="Verified",T38&lt;&gt;""),1,0))</x:f>
      </x:c>
      <x:c r="AE38" s="1"/>
      <x:c r="AF38" s="1"/>
      <x:c r="AG38" s="1"/>
      <x:c r="AH38" s="1"/>
    </x:row>
    <x:row r="39" ht="23" customHeight="1">
      <x:c r="A39" s="8"/>
      <x:c r="B39" s="8"/>
      <x:c r="C39" s="9" t="str">
        <x:f>IF(B39="","",IF(COUNTIFS('Roster'!$A$6:$A$205,B39)&lt;&gt;1,"Check roster",IF(INDEX('Roster'!$B$6:$B$205,MATCH(B39,'Roster'!$A$6:$A$205,0))="","Site missing",INDEX('Roster'!$B$6:$B$205,MATCH(B39,'Roster'!$A$6:$A$205,0)))))</x:f>
      </x:c>
      <x:c r="D39" s="6"/>
      <x:c r="E39" s="7"/>
      <x:c r="F39" s="6"/>
      <x:c r="G39" s="6"/>
      <x:c r="H39" s="6"/>
      <x:c r="I39" s="7"/>
      <x:c r="J39" s="6"/>
      <x:c r="K39" s="6"/>
      <x:c r="L39" s="7"/>
      <x:c r="M39" s="7"/>
      <x:c r="N39" s="7"/>
      <x:c r="O39" s="7"/>
      <x:c r="P39" s="7"/>
      <x:c r="Q39" s="6"/>
      <x:c r="R39" s="7"/>
      <x:c r="S39" s="6"/>
      <x:c r="T39" s="6"/>
      <x:c r="U39" s="6"/>
      <x:c r="V39" s="7"/>
      <x:c r="W39" s="6"/>
      <x:c r="X39" s="7"/>
      <x:c r="Y39" s="9" t="str">
        <x:f>IF(A39="","",IF(OR(K39="Complete",K39="Declined",K39="Closed without data"),"Collection closed",IF(OR(I39="",J39=""),"Date unverified",IF(I39&lt;'Dashboard'!$B$4,"Overdue",IF(I39&lt;='Dashboard'!$B$4+'Dashboard'!$B$5,"Due soon","Later")))))</x:f>
      </x:c>
      <x:c r="Z39" s="9" t="str">
        <x:f>IF(A39="","",IF(H39="","Unassigned",IF(AND(L39&lt;&gt;"",M39=""),"Awaiting acknowledgement",IF(AND(R39&lt;&gt;"",R39&lt;'Dashboard'!$B$4),"Action date passed",IF(AND(OR(K39="Not started",K39="In progress",K39="Awaiting return",K39="Received partial",K39="Unable to reach"),OR(Q39="",R39="")),"Next action missing","No handoff flag")))))</x:f>
      </x:c>
      <x:c r="AA39" s="9" t="str">
        <x:f>IF(A39="","",IF(COUNTIFS($A$6:$A$205,A39)&gt;1,"Duplicate task ID",IF(COUNTIFS($B$6:$B$205,B39,$D$6:$D$205,D39,$E$6:$E$205,E39,$F$6:$F$205,F39)&gt;1,"Duplicate cycle/instrument",IF(OR(B39="",C39="Check roster",C39="Site missing",D39="",E39="",F39="",G39="",G39="Needs verification",K39="",S39="",U39="",X39=""),"Missing core fields",IF(AND(OR(K39="Complete",K39="Received partial"),O39=""),"Missing completion date",IF(AND(U39="Verified submitted",OR(V39="",W39="",S39&lt;&gt;"Verified")),"Submission evidence gap",IF(AND(S39="Verified",T39=""),"Source evidence gap","Recorded")))))))</x:f>
      </x:c>
      <x:c r="AB39" s="9" t="str">
        <x:f>IF(A39="","",IF(OR(I39="",J39=""),"Undated",IF(AND(I39&gt;='Dashboard'!$B$6,I39&lt;='Dashboard'!$B$7),"In period","Outside period")))</x:f>
      </x:c>
      <x:c r="AC39" s="9" t="str">
        <x:f>IF(A39="","",IF(AND(OR(K39="Complete",K39="Received partial"),O39&lt;&gt;"",O39&lt;='Dashboard'!$B$4),1,0))</x:f>
      </x:c>
      <x:c r="AD39" s="9" t="str">
        <x:f>IF(A39="","",IF(AND(U39="Verified submitted",V39&lt;&gt;"",V39&lt;='Dashboard'!$B$4,W39&lt;&gt;"",S39="Verified",T39&lt;&gt;""),1,0))</x:f>
      </x:c>
      <x:c r="AE39" s="1"/>
      <x:c r="AF39" s="1"/>
      <x:c r="AG39" s="1"/>
      <x:c r="AH39" s="1"/>
    </x:row>
    <x:row r="40" ht="23" customHeight="1">
      <x:c r="A40" s="8"/>
      <x:c r="B40" s="8"/>
      <x:c r="C40" s="9" t="str">
        <x:f>IF(B40="","",IF(COUNTIFS('Roster'!$A$6:$A$205,B40)&lt;&gt;1,"Check roster",IF(INDEX('Roster'!$B$6:$B$205,MATCH(B40,'Roster'!$A$6:$A$205,0))="","Site missing",INDEX('Roster'!$B$6:$B$205,MATCH(B40,'Roster'!$A$6:$A$205,0)))))</x:f>
      </x:c>
      <x:c r="D40" s="6"/>
      <x:c r="E40" s="7"/>
      <x:c r="F40" s="6"/>
      <x:c r="G40" s="6"/>
      <x:c r="H40" s="6"/>
      <x:c r="I40" s="7"/>
      <x:c r="J40" s="6"/>
      <x:c r="K40" s="6"/>
      <x:c r="L40" s="7"/>
      <x:c r="M40" s="7"/>
      <x:c r="N40" s="7"/>
      <x:c r="O40" s="7"/>
      <x:c r="P40" s="7"/>
      <x:c r="Q40" s="6"/>
      <x:c r="R40" s="7"/>
      <x:c r="S40" s="6"/>
      <x:c r="T40" s="6"/>
      <x:c r="U40" s="6"/>
      <x:c r="V40" s="7"/>
      <x:c r="W40" s="6"/>
      <x:c r="X40" s="7"/>
      <x:c r="Y40" s="9" t="str">
        <x:f>IF(A40="","",IF(OR(K40="Complete",K40="Declined",K40="Closed without data"),"Collection closed",IF(OR(I40="",J40=""),"Date unverified",IF(I40&lt;'Dashboard'!$B$4,"Overdue",IF(I40&lt;='Dashboard'!$B$4+'Dashboard'!$B$5,"Due soon","Later")))))</x:f>
      </x:c>
      <x:c r="Z40" s="9" t="str">
        <x:f>IF(A40="","",IF(H40="","Unassigned",IF(AND(L40&lt;&gt;"",M40=""),"Awaiting acknowledgement",IF(AND(R40&lt;&gt;"",R40&lt;'Dashboard'!$B$4),"Action date passed",IF(AND(OR(K40="Not started",K40="In progress",K40="Awaiting return",K40="Received partial",K40="Unable to reach"),OR(Q40="",R40="")),"Next action missing","No handoff flag")))))</x:f>
      </x:c>
      <x:c r="AA40" s="9" t="str">
        <x:f>IF(A40="","",IF(COUNTIFS($A$6:$A$205,A40)&gt;1,"Duplicate task ID",IF(COUNTIFS($B$6:$B$205,B40,$D$6:$D$205,D40,$E$6:$E$205,E40,$F$6:$F$205,F40)&gt;1,"Duplicate cycle/instrument",IF(OR(B40="",C40="Check roster",C40="Site missing",D40="",E40="",F40="",G40="",G40="Needs verification",K40="",S40="",U40="",X40=""),"Missing core fields",IF(AND(OR(K40="Complete",K40="Received partial"),O40=""),"Missing completion date",IF(AND(U40="Verified submitted",OR(V40="",W40="",S40&lt;&gt;"Verified")),"Submission evidence gap",IF(AND(S40="Verified",T40=""),"Source evidence gap","Recorded")))))))</x:f>
      </x:c>
      <x:c r="AB40" s="9" t="str">
        <x:f>IF(A40="","",IF(OR(I40="",J40=""),"Undated",IF(AND(I40&gt;='Dashboard'!$B$6,I40&lt;='Dashboard'!$B$7),"In period","Outside period")))</x:f>
      </x:c>
      <x:c r="AC40" s="9" t="str">
        <x:f>IF(A40="","",IF(AND(OR(K40="Complete",K40="Received partial"),O40&lt;&gt;"",O40&lt;='Dashboard'!$B$4),1,0))</x:f>
      </x:c>
      <x:c r="AD40" s="9" t="str">
        <x:f>IF(A40="","",IF(AND(U40="Verified submitted",V40&lt;&gt;"",V40&lt;='Dashboard'!$B$4,W40&lt;&gt;"",S40="Verified",T40&lt;&gt;""),1,0))</x:f>
      </x:c>
      <x:c r="AE40" s="1"/>
      <x:c r="AF40" s="1"/>
      <x:c r="AG40" s="1"/>
      <x:c r="AH40" s="1"/>
    </x:row>
    <x:row r="41" ht="23" customHeight="1">
      <x:c r="A41" s="8"/>
      <x:c r="B41" s="8"/>
      <x:c r="C41" s="9" t="str">
        <x:f>IF(B41="","",IF(COUNTIFS('Roster'!$A$6:$A$205,B41)&lt;&gt;1,"Check roster",IF(INDEX('Roster'!$B$6:$B$205,MATCH(B41,'Roster'!$A$6:$A$205,0))="","Site missing",INDEX('Roster'!$B$6:$B$205,MATCH(B41,'Roster'!$A$6:$A$205,0)))))</x:f>
      </x:c>
      <x:c r="D41" s="6"/>
      <x:c r="E41" s="7"/>
      <x:c r="F41" s="6"/>
      <x:c r="G41" s="6"/>
      <x:c r="H41" s="6"/>
      <x:c r="I41" s="7"/>
      <x:c r="J41" s="6"/>
      <x:c r="K41" s="6"/>
      <x:c r="L41" s="7"/>
      <x:c r="M41" s="7"/>
      <x:c r="N41" s="7"/>
      <x:c r="O41" s="7"/>
      <x:c r="P41" s="7"/>
      <x:c r="Q41" s="6"/>
      <x:c r="R41" s="7"/>
      <x:c r="S41" s="6"/>
      <x:c r="T41" s="6"/>
      <x:c r="U41" s="6"/>
      <x:c r="V41" s="7"/>
      <x:c r="W41" s="6"/>
      <x:c r="X41" s="7"/>
      <x:c r="Y41" s="9" t="str">
        <x:f>IF(A41="","",IF(OR(K41="Complete",K41="Declined",K41="Closed without data"),"Collection closed",IF(OR(I41="",J41=""),"Date unverified",IF(I41&lt;'Dashboard'!$B$4,"Overdue",IF(I41&lt;='Dashboard'!$B$4+'Dashboard'!$B$5,"Due soon","Later")))))</x:f>
      </x:c>
      <x:c r="Z41" s="9" t="str">
        <x:f>IF(A41="","",IF(H41="","Unassigned",IF(AND(L41&lt;&gt;"",M41=""),"Awaiting acknowledgement",IF(AND(R41&lt;&gt;"",R41&lt;'Dashboard'!$B$4),"Action date passed",IF(AND(OR(K41="Not started",K41="In progress",K41="Awaiting return",K41="Received partial",K41="Unable to reach"),OR(Q41="",R41="")),"Next action missing","No handoff flag")))))</x:f>
      </x:c>
      <x:c r="AA41" s="9" t="str">
        <x:f>IF(A41="","",IF(COUNTIFS($A$6:$A$205,A41)&gt;1,"Duplicate task ID",IF(COUNTIFS($B$6:$B$205,B41,$D$6:$D$205,D41,$E$6:$E$205,E41,$F$6:$F$205,F41)&gt;1,"Duplicate cycle/instrument",IF(OR(B41="",C41="Check roster",C41="Site missing",D41="",E41="",F41="",G41="",G41="Needs verification",K41="",S41="",U41="",X41=""),"Missing core fields",IF(AND(OR(K41="Complete",K41="Received partial"),O41=""),"Missing completion date",IF(AND(U41="Verified submitted",OR(V41="",W41="",S41&lt;&gt;"Verified")),"Submission evidence gap",IF(AND(S41="Verified",T41=""),"Source evidence gap","Recorded")))))))</x:f>
      </x:c>
      <x:c r="AB41" s="9" t="str">
        <x:f>IF(A41="","",IF(OR(I41="",J41=""),"Undated",IF(AND(I41&gt;='Dashboard'!$B$6,I41&lt;='Dashboard'!$B$7),"In period","Outside period")))</x:f>
      </x:c>
      <x:c r="AC41" s="9" t="str">
        <x:f>IF(A41="","",IF(AND(OR(K41="Complete",K41="Received partial"),O41&lt;&gt;"",O41&lt;='Dashboard'!$B$4),1,0))</x:f>
      </x:c>
      <x:c r="AD41" s="9" t="str">
        <x:f>IF(A41="","",IF(AND(U41="Verified submitted",V41&lt;&gt;"",V41&lt;='Dashboard'!$B$4,W41&lt;&gt;"",S41="Verified",T41&lt;&gt;""),1,0))</x:f>
      </x:c>
      <x:c r="AE41" s="1"/>
      <x:c r="AF41" s="1"/>
      <x:c r="AG41" s="1"/>
      <x:c r="AH41" s="1"/>
    </x:row>
    <x:row r="42" ht="23" customHeight="1">
      <x:c r="A42" s="8"/>
      <x:c r="B42" s="8"/>
      <x:c r="C42" s="9" t="str">
        <x:f>IF(B42="","",IF(COUNTIFS('Roster'!$A$6:$A$205,B42)&lt;&gt;1,"Check roster",IF(INDEX('Roster'!$B$6:$B$205,MATCH(B42,'Roster'!$A$6:$A$205,0))="","Site missing",INDEX('Roster'!$B$6:$B$205,MATCH(B42,'Roster'!$A$6:$A$205,0)))))</x:f>
      </x:c>
      <x:c r="D42" s="6"/>
      <x:c r="E42" s="7"/>
      <x:c r="F42" s="6"/>
      <x:c r="G42" s="6"/>
      <x:c r="H42" s="6"/>
      <x:c r="I42" s="7"/>
      <x:c r="J42" s="6"/>
      <x:c r="K42" s="6"/>
      <x:c r="L42" s="7"/>
      <x:c r="M42" s="7"/>
      <x:c r="N42" s="7"/>
      <x:c r="O42" s="7"/>
      <x:c r="P42" s="7"/>
      <x:c r="Q42" s="6"/>
      <x:c r="R42" s="7"/>
      <x:c r="S42" s="6"/>
      <x:c r="T42" s="6"/>
      <x:c r="U42" s="6"/>
      <x:c r="V42" s="7"/>
      <x:c r="W42" s="6"/>
      <x:c r="X42" s="7"/>
      <x:c r="Y42" s="9" t="str">
        <x:f>IF(A42="","",IF(OR(K42="Complete",K42="Declined",K42="Closed without data"),"Collection closed",IF(OR(I42="",J42=""),"Date unverified",IF(I42&lt;'Dashboard'!$B$4,"Overdue",IF(I42&lt;='Dashboard'!$B$4+'Dashboard'!$B$5,"Due soon","Later")))))</x:f>
      </x:c>
      <x:c r="Z42" s="9" t="str">
        <x:f>IF(A42="","",IF(H42="","Unassigned",IF(AND(L42&lt;&gt;"",M42=""),"Awaiting acknowledgement",IF(AND(R42&lt;&gt;"",R42&lt;'Dashboard'!$B$4),"Action date passed",IF(AND(OR(K42="Not started",K42="In progress",K42="Awaiting return",K42="Received partial",K42="Unable to reach"),OR(Q42="",R42="")),"Next action missing","No handoff flag")))))</x:f>
      </x:c>
      <x:c r="AA42" s="9" t="str">
        <x:f>IF(A42="","",IF(COUNTIFS($A$6:$A$205,A42)&gt;1,"Duplicate task ID",IF(COUNTIFS($B$6:$B$205,B42,$D$6:$D$205,D42,$E$6:$E$205,E42,$F$6:$F$205,F42)&gt;1,"Duplicate cycle/instrument",IF(OR(B42="",C42="Check roster",C42="Site missing",D42="",E42="",F42="",G42="",G42="Needs verification",K42="",S42="",U42="",X42=""),"Missing core fields",IF(AND(OR(K42="Complete",K42="Received partial"),O42=""),"Missing completion date",IF(AND(U42="Verified submitted",OR(V42="",W42="",S42&lt;&gt;"Verified")),"Submission evidence gap",IF(AND(S42="Verified",T42=""),"Source evidence gap","Recorded")))))))</x:f>
      </x:c>
      <x:c r="AB42" s="9" t="str">
        <x:f>IF(A42="","",IF(OR(I42="",J42=""),"Undated",IF(AND(I42&gt;='Dashboard'!$B$6,I42&lt;='Dashboard'!$B$7),"In period","Outside period")))</x:f>
      </x:c>
      <x:c r="AC42" s="9" t="str">
        <x:f>IF(A42="","",IF(AND(OR(K42="Complete",K42="Received partial"),O42&lt;&gt;"",O42&lt;='Dashboard'!$B$4),1,0))</x:f>
      </x:c>
      <x:c r="AD42" s="9" t="str">
        <x:f>IF(A42="","",IF(AND(U42="Verified submitted",V42&lt;&gt;"",V42&lt;='Dashboard'!$B$4,W42&lt;&gt;"",S42="Verified",T42&lt;&gt;""),1,0))</x:f>
      </x:c>
      <x:c r="AE42" s="1"/>
      <x:c r="AF42" s="1"/>
      <x:c r="AG42" s="1"/>
      <x:c r="AH42" s="1"/>
    </x:row>
    <x:row r="43" ht="23" customHeight="1">
      <x:c r="A43" s="8"/>
      <x:c r="B43" s="8"/>
      <x:c r="C43" s="9" t="str">
        <x:f>IF(B43="","",IF(COUNTIFS('Roster'!$A$6:$A$205,B43)&lt;&gt;1,"Check roster",IF(INDEX('Roster'!$B$6:$B$205,MATCH(B43,'Roster'!$A$6:$A$205,0))="","Site missing",INDEX('Roster'!$B$6:$B$205,MATCH(B43,'Roster'!$A$6:$A$205,0)))))</x:f>
      </x:c>
      <x:c r="D43" s="6"/>
      <x:c r="E43" s="7"/>
      <x:c r="F43" s="6"/>
      <x:c r="G43" s="6"/>
      <x:c r="H43" s="6"/>
      <x:c r="I43" s="7"/>
      <x:c r="J43" s="6"/>
      <x:c r="K43" s="6"/>
      <x:c r="L43" s="7"/>
      <x:c r="M43" s="7"/>
      <x:c r="N43" s="7"/>
      <x:c r="O43" s="7"/>
      <x:c r="P43" s="7"/>
      <x:c r="Q43" s="6"/>
      <x:c r="R43" s="7"/>
      <x:c r="S43" s="6"/>
      <x:c r="T43" s="6"/>
      <x:c r="U43" s="6"/>
      <x:c r="V43" s="7"/>
      <x:c r="W43" s="6"/>
      <x:c r="X43" s="7"/>
      <x:c r="Y43" s="9" t="str">
        <x:f>IF(A43="","",IF(OR(K43="Complete",K43="Declined",K43="Closed without data"),"Collection closed",IF(OR(I43="",J43=""),"Date unverified",IF(I43&lt;'Dashboard'!$B$4,"Overdue",IF(I43&lt;='Dashboard'!$B$4+'Dashboard'!$B$5,"Due soon","Later")))))</x:f>
      </x:c>
      <x:c r="Z43" s="9" t="str">
        <x:f>IF(A43="","",IF(H43="","Unassigned",IF(AND(L43&lt;&gt;"",M43=""),"Awaiting acknowledgement",IF(AND(R43&lt;&gt;"",R43&lt;'Dashboard'!$B$4),"Action date passed",IF(AND(OR(K43="Not started",K43="In progress",K43="Awaiting return",K43="Received partial",K43="Unable to reach"),OR(Q43="",R43="")),"Next action missing","No handoff flag")))))</x:f>
      </x:c>
      <x:c r="AA43" s="9" t="str">
        <x:f>IF(A43="","",IF(COUNTIFS($A$6:$A$205,A43)&gt;1,"Duplicate task ID",IF(COUNTIFS($B$6:$B$205,B43,$D$6:$D$205,D43,$E$6:$E$205,E43,$F$6:$F$205,F43)&gt;1,"Duplicate cycle/instrument",IF(OR(B43="",C43="Check roster",C43="Site missing",D43="",E43="",F43="",G43="",G43="Needs verification",K43="",S43="",U43="",X43=""),"Missing core fields",IF(AND(OR(K43="Complete",K43="Received partial"),O43=""),"Missing completion date",IF(AND(U43="Verified submitted",OR(V43="",W43="",S43&lt;&gt;"Verified")),"Submission evidence gap",IF(AND(S43="Verified",T43=""),"Source evidence gap","Recorded")))))))</x:f>
      </x:c>
      <x:c r="AB43" s="9" t="str">
        <x:f>IF(A43="","",IF(OR(I43="",J43=""),"Undated",IF(AND(I43&gt;='Dashboard'!$B$6,I43&lt;='Dashboard'!$B$7),"In period","Outside period")))</x:f>
      </x:c>
      <x:c r="AC43" s="9" t="str">
        <x:f>IF(A43="","",IF(AND(OR(K43="Complete",K43="Received partial"),O43&lt;&gt;"",O43&lt;='Dashboard'!$B$4),1,0))</x:f>
      </x:c>
      <x:c r="AD43" s="9" t="str">
        <x:f>IF(A43="","",IF(AND(U43="Verified submitted",V43&lt;&gt;"",V43&lt;='Dashboard'!$B$4,W43&lt;&gt;"",S43="Verified",T43&lt;&gt;""),1,0))</x:f>
      </x:c>
      <x:c r="AE43" s="1"/>
      <x:c r="AF43" s="1"/>
      <x:c r="AG43" s="1"/>
      <x:c r="AH43" s="1"/>
    </x:row>
    <x:row r="44" ht="23" customHeight="1">
      <x:c r="A44" s="8"/>
      <x:c r="B44" s="8"/>
      <x:c r="C44" s="9" t="str">
        <x:f>IF(B44="","",IF(COUNTIFS('Roster'!$A$6:$A$205,B44)&lt;&gt;1,"Check roster",IF(INDEX('Roster'!$B$6:$B$205,MATCH(B44,'Roster'!$A$6:$A$205,0))="","Site missing",INDEX('Roster'!$B$6:$B$205,MATCH(B44,'Roster'!$A$6:$A$205,0)))))</x:f>
      </x:c>
      <x:c r="D44" s="6"/>
      <x:c r="E44" s="7"/>
      <x:c r="F44" s="6"/>
      <x:c r="G44" s="6"/>
      <x:c r="H44" s="6"/>
      <x:c r="I44" s="7"/>
      <x:c r="J44" s="6"/>
      <x:c r="K44" s="6"/>
      <x:c r="L44" s="7"/>
      <x:c r="M44" s="7"/>
      <x:c r="N44" s="7"/>
      <x:c r="O44" s="7"/>
      <x:c r="P44" s="7"/>
      <x:c r="Q44" s="6"/>
      <x:c r="R44" s="7"/>
      <x:c r="S44" s="6"/>
      <x:c r="T44" s="6"/>
      <x:c r="U44" s="6"/>
      <x:c r="V44" s="7"/>
      <x:c r="W44" s="6"/>
      <x:c r="X44" s="7"/>
      <x:c r="Y44" s="9" t="str">
        <x:f>IF(A44="","",IF(OR(K44="Complete",K44="Declined",K44="Closed without data"),"Collection closed",IF(OR(I44="",J44=""),"Date unverified",IF(I44&lt;'Dashboard'!$B$4,"Overdue",IF(I44&lt;='Dashboard'!$B$4+'Dashboard'!$B$5,"Due soon","Later")))))</x:f>
      </x:c>
      <x:c r="Z44" s="9" t="str">
        <x:f>IF(A44="","",IF(H44="","Unassigned",IF(AND(L44&lt;&gt;"",M44=""),"Awaiting acknowledgement",IF(AND(R44&lt;&gt;"",R44&lt;'Dashboard'!$B$4),"Action date passed",IF(AND(OR(K44="Not started",K44="In progress",K44="Awaiting return",K44="Received partial",K44="Unable to reach"),OR(Q44="",R44="")),"Next action missing","No handoff flag")))))</x:f>
      </x:c>
      <x:c r="AA44" s="9" t="str">
        <x:f>IF(A44="","",IF(COUNTIFS($A$6:$A$205,A44)&gt;1,"Duplicate task ID",IF(COUNTIFS($B$6:$B$205,B44,$D$6:$D$205,D44,$E$6:$E$205,E44,$F$6:$F$205,F44)&gt;1,"Duplicate cycle/instrument",IF(OR(B44="",C44="Check roster",C44="Site missing",D44="",E44="",F44="",G44="",G44="Needs verification",K44="",S44="",U44="",X44=""),"Missing core fields",IF(AND(OR(K44="Complete",K44="Received partial"),O44=""),"Missing completion date",IF(AND(U44="Verified submitted",OR(V44="",W44="",S44&lt;&gt;"Verified")),"Submission evidence gap",IF(AND(S44="Verified",T44=""),"Source evidence gap","Recorded")))))))</x:f>
      </x:c>
      <x:c r="AB44" s="9" t="str">
        <x:f>IF(A44="","",IF(OR(I44="",J44=""),"Undated",IF(AND(I44&gt;='Dashboard'!$B$6,I44&lt;='Dashboard'!$B$7),"In period","Outside period")))</x:f>
      </x:c>
      <x:c r="AC44" s="9" t="str">
        <x:f>IF(A44="","",IF(AND(OR(K44="Complete",K44="Received partial"),O44&lt;&gt;"",O44&lt;='Dashboard'!$B$4),1,0))</x:f>
      </x:c>
      <x:c r="AD44" s="9" t="str">
        <x:f>IF(A44="","",IF(AND(U44="Verified submitted",V44&lt;&gt;"",V44&lt;='Dashboard'!$B$4,W44&lt;&gt;"",S44="Verified",T44&lt;&gt;""),1,0))</x:f>
      </x:c>
      <x:c r="AE44" s="1"/>
      <x:c r="AF44" s="1"/>
      <x:c r="AG44" s="1"/>
      <x:c r="AH44" s="1"/>
    </x:row>
    <x:row r="45" ht="23" customHeight="1">
      <x:c r="A45" s="8"/>
      <x:c r="B45" s="8"/>
      <x:c r="C45" s="9" t="str">
        <x:f>IF(B45="","",IF(COUNTIFS('Roster'!$A$6:$A$205,B45)&lt;&gt;1,"Check roster",IF(INDEX('Roster'!$B$6:$B$205,MATCH(B45,'Roster'!$A$6:$A$205,0))="","Site missing",INDEX('Roster'!$B$6:$B$205,MATCH(B45,'Roster'!$A$6:$A$205,0)))))</x:f>
      </x:c>
      <x:c r="D45" s="6"/>
      <x:c r="E45" s="7"/>
      <x:c r="F45" s="6"/>
      <x:c r="G45" s="6"/>
      <x:c r="H45" s="6"/>
      <x:c r="I45" s="7"/>
      <x:c r="J45" s="6"/>
      <x:c r="K45" s="6"/>
      <x:c r="L45" s="7"/>
      <x:c r="M45" s="7"/>
      <x:c r="N45" s="7"/>
      <x:c r="O45" s="7"/>
      <x:c r="P45" s="7"/>
      <x:c r="Q45" s="6"/>
      <x:c r="R45" s="7"/>
      <x:c r="S45" s="6"/>
      <x:c r="T45" s="6"/>
      <x:c r="U45" s="6"/>
      <x:c r="V45" s="7"/>
      <x:c r="W45" s="6"/>
      <x:c r="X45" s="7"/>
      <x:c r="Y45" s="9" t="str">
        <x:f>IF(A45="","",IF(OR(K45="Complete",K45="Declined",K45="Closed without data"),"Collection closed",IF(OR(I45="",J45=""),"Date unverified",IF(I45&lt;'Dashboard'!$B$4,"Overdue",IF(I45&lt;='Dashboard'!$B$4+'Dashboard'!$B$5,"Due soon","Later")))))</x:f>
      </x:c>
      <x:c r="Z45" s="9" t="str">
        <x:f>IF(A45="","",IF(H45="","Unassigned",IF(AND(L45&lt;&gt;"",M45=""),"Awaiting acknowledgement",IF(AND(R45&lt;&gt;"",R45&lt;'Dashboard'!$B$4),"Action date passed",IF(AND(OR(K45="Not started",K45="In progress",K45="Awaiting return",K45="Received partial",K45="Unable to reach"),OR(Q45="",R45="")),"Next action missing","No handoff flag")))))</x:f>
      </x:c>
      <x:c r="AA45" s="9" t="str">
        <x:f>IF(A45="","",IF(COUNTIFS($A$6:$A$205,A45)&gt;1,"Duplicate task ID",IF(COUNTIFS($B$6:$B$205,B45,$D$6:$D$205,D45,$E$6:$E$205,E45,$F$6:$F$205,F45)&gt;1,"Duplicate cycle/instrument",IF(OR(B45="",C45="Check roster",C45="Site missing",D45="",E45="",F45="",G45="",G45="Needs verification",K45="",S45="",U45="",X45=""),"Missing core fields",IF(AND(OR(K45="Complete",K45="Received partial"),O45=""),"Missing completion date",IF(AND(U45="Verified submitted",OR(V45="",W45="",S45&lt;&gt;"Verified")),"Submission evidence gap",IF(AND(S45="Verified",T45=""),"Source evidence gap","Recorded")))))))</x:f>
      </x:c>
      <x:c r="AB45" s="9" t="str">
        <x:f>IF(A45="","",IF(OR(I45="",J45=""),"Undated",IF(AND(I45&gt;='Dashboard'!$B$6,I45&lt;='Dashboard'!$B$7),"In period","Outside period")))</x:f>
      </x:c>
      <x:c r="AC45" s="9" t="str">
        <x:f>IF(A45="","",IF(AND(OR(K45="Complete",K45="Received partial"),O45&lt;&gt;"",O45&lt;='Dashboard'!$B$4),1,0))</x:f>
      </x:c>
      <x:c r="AD45" s="9" t="str">
        <x:f>IF(A45="","",IF(AND(U45="Verified submitted",V45&lt;&gt;"",V45&lt;='Dashboard'!$B$4,W45&lt;&gt;"",S45="Verified",T45&lt;&gt;""),1,0))</x:f>
      </x:c>
      <x:c r="AE45" s="1"/>
      <x:c r="AF45" s="1"/>
      <x:c r="AG45" s="1"/>
      <x:c r="AH45" s="1"/>
    </x:row>
    <x:row r="46" ht="23" customHeight="1">
      <x:c r="A46" s="8"/>
      <x:c r="B46" s="8"/>
      <x:c r="C46" s="9" t="str">
        <x:f>IF(B46="","",IF(COUNTIFS('Roster'!$A$6:$A$205,B46)&lt;&gt;1,"Check roster",IF(INDEX('Roster'!$B$6:$B$205,MATCH(B46,'Roster'!$A$6:$A$205,0))="","Site missing",INDEX('Roster'!$B$6:$B$205,MATCH(B46,'Roster'!$A$6:$A$205,0)))))</x:f>
      </x:c>
      <x:c r="D46" s="6"/>
      <x:c r="E46" s="7"/>
      <x:c r="F46" s="6"/>
      <x:c r="G46" s="6"/>
      <x:c r="H46" s="6"/>
      <x:c r="I46" s="7"/>
      <x:c r="J46" s="6"/>
      <x:c r="K46" s="6"/>
      <x:c r="L46" s="7"/>
      <x:c r="M46" s="7"/>
      <x:c r="N46" s="7"/>
      <x:c r="O46" s="7"/>
      <x:c r="P46" s="7"/>
      <x:c r="Q46" s="6"/>
      <x:c r="R46" s="7"/>
      <x:c r="S46" s="6"/>
      <x:c r="T46" s="6"/>
      <x:c r="U46" s="6"/>
      <x:c r="V46" s="7"/>
      <x:c r="W46" s="6"/>
      <x:c r="X46" s="7"/>
      <x:c r="Y46" s="9" t="str">
        <x:f>IF(A46="","",IF(OR(K46="Complete",K46="Declined",K46="Closed without data"),"Collection closed",IF(OR(I46="",J46=""),"Date unverified",IF(I46&lt;'Dashboard'!$B$4,"Overdue",IF(I46&lt;='Dashboard'!$B$4+'Dashboard'!$B$5,"Due soon","Later")))))</x:f>
      </x:c>
      <x:c r="Z46" s="9" t="str">
        <x:f>IF(A46="","",IF(H46="","Unassigned",IF(AND(L46&lt;&gt;"",M46=""),"Awaiting acknowledgement",IF(AND(R46&lt;&gt;"",R46&lt;'Dashboard'!$B$4),"Action date passed",IF(AND(OR(K46="Not started",K46="In progress",K46="Awaiting return",K46="Received partial",K46="Unable to reach"),OR(Q46="",R46="")),"Next action missing","No handoff flag")))))</x:f>
      </x:c>
      <x:c r="AA46" s="9" t="str">
        <x:f>IF(A46="","",IF(COUNTIFS($A$6:$A$205,A46)&gt;1,"Duplicate task ID",IF(COUNTIFS($B$6:$B$205,B46,$D$6:$D$205,D46,$E$6:$E$205,E46,$F$6:$F$205,F46)&gt;1,"Duplicate cycle/instrument",IF(OR(B46="",C46="Check roster",C46="Site missing",D46="",E46="",F46="",G46="",G46="Needs verification",K46="",S46="",U46="",X46=""),"Missing core fields",IF(AND(OR(K46="Complete",K46="Received partial"),O46=""),"Missing completion date",IF(AND(U46="Verified submitted",OR(V46="",W46="",S46&lt;&gt;"Verified")),"Submission evidence gap",IF(AND(S46="Verified",T46=""),"Source evidence gap","Recorded")))))))</x:f>
      </x:c>
      <x:c r="AB46" s="9" t="str">
        <x:f>IF(A46="","",IF(OR(I46="",J46=""),"Undated",IF(AND(I46&gt;='Dashboard'!$B$6,I46&lt;='Dashboard'!$B$7),"In period","Outside period")))</x:f>
      </x:c>
      <x:c r="AC46" s="9" t="str">
        <x:f>IF(A46="","",IF(AND(OR(K46="Complete",K46="Received partial"),O46&lt;&gt;"",O46&lt;='Dashboard'!$B$4),1,0))</x:f>
      </x:c>
      <x:c r="AD46" s="9" t="str">
        <x:f>IF(A46="","",IF(AND(U46="Verified submitted",V46&lt;&gt;"",V46&lt;='Dashboard'!$B$4,W46&lt;&gt;"",S46="Verified",T46&lt;&gt;""),1,0))</x:f>
      </x:c>
      <x:c r="AE46" s="1"/>
      <x:c r="AF46" s="1"/>
      <x:c r="AG46" s="1"/>
      <x:c r="AH46" s="1"/>
    </x:row>
    <x:row r="47" ht="23" customHeight="1">
      <x:c r="A47" s="8"/>
      <x:c r="B47" s="8"/>
      <x:c r="C47" s="9" t="str">
        <x:f>IF(B47="","",IF(COUNTIFS('Roster'!$A$6:$A$205,B47)&lt;&gt;1,"Check roster",IF(INDEX('Roster'!$B$6:$B$205,MATCH(B47,'Roster'!$A$6:$A$205,0))="","Site missing",INDEX('Roster'!$B$6:$B$205,MATCH(B47,'Roster'!$A$6:$A$205,0)))))</x:f>
      </x:c>
      <x:c r="D47" s="6"/>
      <x:c r="E47" s="7"/>
      <x:c r="F47" s="6"/>
      <x:c r="G47" s="6"/>
      <x:c r="H47" s="6"/>
      <x:c r="I47" s="7"/>
      <x:c r="J47" s="6"/>
      <x:c r="K47" s="6"/>
      <x:c r="L47" s="7"/>
      <x:c r="M47" s="7"/>
      <x:c r="N47" s="7"/>
      <x:c r="O47" s="7"/>
      <x:c r="P47" s="7"/>
      <x:c r="Q47" s="6"/>
      <x:c r="R47" s="7"/>
      <x:c r="S47" s="6"/>
      <x:c r="T47" s="6"/>
      <x:c r="U47" s="6"/>
      <x:c r="V47" s="7"/>
      <x:c r="W47" s="6"/>
      <x:c r="X47" s="7"/>
      <x:c r="Y47" s="9" t="str">
        <x:f>IF(A47="","",IF(OR(K47="Complete",K47="Declined",K47="Closed without data"),"Collection closed",IF(OR(I47="",J47=""),"Date unverified",IF(I47&lt;'Dashboard'!$B$4,"Overdue",IF(I47&lt;='Dashboard'!$B$4+'Dashboard'!$B$5,"Due soon","Later")))))</x:f>
      </x:c>
      <x:c r="Z47" s="9" t="str">
        <x:f>IF(A47="","",IF(H47="","Unassigned",IF(AND(L47&lt;&gt;"",M47=""),"Awaiting acknowledgement",IF(AND(R47&lt;&gt;"",R47&lt;'Dashboard'!$B$4),"Action date passed",IF(AND(OR(K47="Not started",K47="In progress",K47="Awaiting return",K47="Received partial",K47="Unable to reach"),OR(Q47="",R47="")),"Next action missing","No handoff flag")))))</x:f>
      </x:c>
      <x:c r="AA47" s="9" t="str">
        <x:f>IF(A47="","",IF(COUNTIFS($A$6:$A$205,A47)&gt;1,"Duplicate task ID",IF(COUNTIFS($B$6:$B$205,B47,$D$6:$D$205,D47,$E$6:$E$205,E47,$F$6:$F$205,F47)&gt;1,"Duplicate cycle/instrument",IF(OR(B47="",C47="Check roster",C47="Site missing",D47="",E47="",F47="",G47="",G47="Needs verification",K47="",S47="",U47="",X47=""),"Missing core fields",IF(AND(OR(K47="Complete",K47="Received partial"),O47=""),"Missing completion date",IF(AND(U47="Verified submitted",OR(V47="",W47="",S47&lt;&gt;"Verified")),"Submission evidence gap",IF(AND(S47="Verified",T47=""),"Source evidence gap","Recorded")))))))</x:f>
      </x:c>
      <x:c r="AB47" s="9" t="str">
        <x:f>IF(A47="","",IF(OR(I47="",J47=""),"Undated",IF(AND(I47&gt;='Dashboard'!$B$6,I47&lt;='Dashboard'!$B$7),"In period","Outside period")))</x:f>
      </x:c>
      <x:c r="AC47" s="9" t="str">
        <x:f>IF(A47="","",IF(AND(OR(K47="Complete",K47="Received partial"),O47&lt;&gt;"",O47&lt;='Dashboard'!$B$4),1,0))</x:f>
      </x:c>
      <x:c r="AD47" s="9" t="str">
        <x:f>IF(A47="","",IF(AND(U47="Verified submitted",V47&lt;&gt;"",V47&lt;='Dashboard'!$B$4,W47&lt;&gt;"",S47="Verified",T47&lt;&gt;""),1,0))</x:f>
      </x:c>
      <x:c r="AE47" s="1"/>
      <x:c r="AF47" s="1"/>
      <x:c r="AG47" s="1"/>
      <x:c r="AH47" s="1"/>
    </x:row>
    <x:row r="48" ht="23" customHeight="1">
      <x:c r="A48" s="8"/>
      <x:c r="B48" s="8"/>
      <x:c r="C48" s="9" t="str">
        <x:f>IF(B48="","",IF(COUNTIFS('Roster'!$A$6:$A$205,B48)&lt;&gt;1,"Check roster",IF(INDEX('Roster'!$B$6:$B$205,MATCH(B48,'Roster'!$A$6:$A$205,0))="","Site missing",INDEX('Roster'!$B$6:$B$205,MATCH(B48,'Roster'!$A$6:$A$205,0)))))</x:f>
      </x:c>
      <x:c r="D48" s="6"/>
      <x:c r="E48" s="7"/>
      <x:c r="F48" s="6"/>
      <x:c r="G48" s="6"/>
      <x:c r="H48" s="6"/>
      <x:c r="I48" s="7"/>
      <x:c r="J48" s="6"/>
      <x:c r="K48" s="6"/>
      <x:c r="L48" s="7"/>
      <x:c r="M48" s="7"/>
      <x:c r="N48" s="7"/>
      <x:c r="O48" s="7"/>
      <x:c r="P48" s="7"/>
      <x:c r="Q48" s="6"/>
      <x:c r="R48" s="7"/>
      <x:c r="S48" s="6"/>
      <x:c r="T48" s="6"/>
      <x:c r="U48" s="6"/>
      <x:c r="V48" s="7"/>
      <x:c r="W48" s="6"/>
      <x:c r="X48" s="7"/>
      <x:c r="Y48" s="9" t="str">
        <x:f>IF(A48="","",IF(OR(K48="Complete",K48="Declined",K48="Closed without data"),"Collection closed",IF(OR(I48="",J48=""),"Date unverified",IF(I48&lt;'Dashboard'!$B$4,"Overdue",IF(I48&lt;='Dashboard'!$B$4+'Dashboard'!$B$5,"Due soon","Later")))))</x:f>
      </x:c>
      <x:c r="Z48" s="9" t="str">
        <x:f>IF(A48="","",IF(H48="","Unassigned",IF(AND(L48&lt;&gt;"",M48=""),"Awaiting acknowledgement",IF(AND(R48&lt;&gt;"",R48&lt;'Dashboard'!$B$4),"Action date passed",IF(AND(OR(K48="Not started",K48="In progress",K48="Awaiting return",K48="Received partial",K48="Unable to reach"),OR(Q48="",R48="")),"Next action missing","No handoff flag")))))</x:f>
      </x:c>
      <x:c r="AA48" s="9" t="str">
        <x:f>IF(A48="","",IF(COUNTIFS($A$6:$A$205,A48)&gt;1,"Duplicate task ID",IF(COUNTIFS($B$6:$B$205,B48,$D$6:$D$205,D48,$E$6:$E$205,E48,$F$6:$F$205,F48)&gt;1,"Duplicate cycle/instrument",IF(OR(B48="",C48="Check roster",C48="Site missing",D48="",E48="",F48="",G48="",G48="Needs verification",K48="",S48="",U48="",X48=""),"Missing core fields",IF(AND(OR(K48="Complete",K48="Received partial"),O48=""),"Missing completion date",IF(AND(U48="Verified submitted",OR(V48="",W48="",S48&lt;&gt;"Verified")),"Submission evidence gap",IF(AND(S48="Verified",T48=""),"Source evidence gap","Recorded")))))))</x:f>
      </x:c>
      <x:c r="AB48" s="9" t="str">
        <x:f>IF(A48="","",IF(OR(I48="",J48=""),"Undated",IF(AND(I48&gt;='Dashboard'!$B$6,I48&lt;='Dashboard'!$B$7),"In period","Outside period")))</x:f>
      </x:c>
      <x:c r="AC48" s="9" t="str">
        <x:f>IF(A48="","",IF(AND(OR(K48="Complete",K48="Received partial"),O48&lt;&gt;"",O48&lt;='Dashboard'!$B$4),1,0))</x:f>
      </x:c>
      <x:c r="AD48" s="9" t="str">
        <x:f>IF(A48="","",IF(AND(U48="Verified submitted",V48&lt;&gt;"",V48&lt;='Dashboard'!$B$4,W48&lt;&gt;"",S48="Verified",T48&lt;&gt;""),1,0))</x:f>
      </x:c>
      <x:c r="AE48" s="1"/>
      <x:c r="AF48" s="1"/>
      <x:c r="AG48" s="1"/>
      <x:c r="AH48" s="1"/>
    </x:row>
    <x:row r="49" ht="23" customHeight="1">
      <x:c r="A49" s="8"/>
      <x:c r="B49" s="8"/>
      <x:c r="C49" s="9" t="str">
        <x:f>IF(B49="","",IF(COUNTIFS('Roster'!$A$6:$A$205,B49)&lt;&gt;1,"Check roster",IF(INDEX('Roster'!$B$6:$B$205,MATCH(B49,'Roster'!$A$6:$A$205,0))="","Site missing",INDEX('Roster'!$B$6:$B$205,MATCH(B49,'Roster'!$A$6:$A$205,0)))))</x:f>
      </x:c>
      <x:c r="D49" s="6"/>
      <x:c r="E49" s="7"/>
      <x:c r="F49" s="6"/>
      <x:c r="G49" s="6"/>
      <x:c r="H49" s="6"/>
      <x:c r="I49" s="7"/>
      <x:c r="J49" s="6"/>
      <x:c r="K49" s="6"/>
      <x:c r="L49" s="7"/>
      <x:c r="M49" s="7"/>
      <x:c r="N49" s="7"/>
      <x:c r="O49" s="7"/>
      <x:c r="P49" s="7"/>
      <x:c r="Q49" s="6"/>
      <x:c r="R49" s="7"/>
      <x:c r="S49" s="6"/>
      <x:c r="T49" s="6"/>
      <x:c r="U49" s="6"/>
      <x:c r="V49" s="7"/>
      <x:c r="W49" s="6"/>
      <x:c r="X49" s="7"/>
      <x:c r="Y49" s="9" t="str">
        <x:f>IF(A49="","",IF(OR(K49="Complete",K49="Declined",K49="Closed without data"),"Collection closed",IF(OR(I49="",J49=""),"Date unverified",IF(I49&lt;'Dashboard'!$B$4,"Overdue",IF(I49&lt;='Dashboard'!$B$4+'Dashboard'!$B$5,"Due soon","Later")))))</x:f>
      </x:c>
      <x:c r="Z49" s="9" t="str">
        <x:f>IF(A49="","",IF(H49="","Unassigned",IF(AND(L49&lt;&gt;"",M49=""),"Awaiting acknowledgement",IF(AND(R49&lt;&gt;"",R49&lt;'Dashboard'!$B$4),"Action date passed",IF(AND(OR(K49="Not started",K49="In progress",K49="Awaiting return",K49="Received partial",K49="Unable to reach"),OR(Q49="",R49="")),"Next action missing","No handoff flag")))))</x:f>
      </x:c>
      <x:c r="AA49" s="9" t="str">
        <x:f>IF(A49="","",IF(COUNTIFS($A$6:$A$205,A49)&gt;1,"Duplicate task ID",IF(COUNTIFS($B$6:$B$205,B49,$D$6:$D$205,D49,$E$6:$E$205,E49,$F$6:$F$205,F49)&gt;1,"Duplicate cycle/instrument",IF(OR(B49="",C49="Check roster",C49="Site missing",D49="",E49="",F49="",G49="",G49="Needs verification",K49="",S49="",U49="",X49=""),"Missing core fields",IF(AND(OR(K49="Complete",K49="Received partial"),O49=""),"Missing completion date",IF(AND(U49="Verified submitted",OR(V49="",W49="",S49&lt;&gt;"Verified")),"Submission evidence gap",IF(AND(S49="Verified",T49=""),"Source evidence gap","Recorded")))))))</x:f>
      </x:c>
      <x:c r="AB49" s="9" t="str">
        <x:f>IF(A49="","",IF(OR(I49="",J49=""),"Undated",IF(AND(I49&gt;='Dashboard'!$B$6,I49&lt;='Dashboard'!$B$7),"In period","Outside period")))</x:f>
      </x:c>
      <x:c r="AC49" s="9" t="str">
        <x:f>IF(A49="","",IF(AND(OR(K49="Complete",K49="Received partial"),O49&lt;&gt;"",O49&lt;='Dashboard'!$B$4),1,0))</x:f>
      </x:c>
      <x:c r="AD49" s="9" t="str">
        <x:f>IF(A49="","",IF(AND(U49="Verified submitted",V49&lt;&gt;"",V49&lt;='Dashboard'!$B$4,W49&lt;&gt;"",S49="Verified",T49&lt;&gt;""),1,0))</x:f>
      </x:c>
      <x:c r="AE49" s="1"/>
      <x:c r="AF49" s="1"/>
      <x:c r="AG49" s="1"/>
      <x:c r="AH49" s="1"/>
    </x:row>
    <x:row r="50" ht="23" customHeight="1">
      <x:c r="A50" s="8"/>
      <x:c r="B50" s="8"/>
      <x:c r="C50" s="9" t="str">
        <x:f>IF(B50="","",IF(COUNTIFS('Roster'!$A$6:$A$205,B50)&lt;&gt;1,"Check roster",IF(INDEX('Roster'!$B$6:$B$205,MATCH(B50,'Roster'!$A$6:$A$205,0))="","Site missing",INDEX('Roster'!$B$6:$B$205,MATCH(B50,'Roster'!$A$6:$A$205,0)))))</x:f>
      </x:c>
      <x:c r="D50" s="6"/>
      <x:c r="E50" s="7"/>
      <x:c r="F50" s="6"/>
      <x:c r="G50" s="6"/>
      <x:c r="H50" s="6"/>
      <x:c r="I50" s="7"/>
      <x:c r="J50" s="6"/>
      <x:c r="K50" s="6"/>
      <x:c r="L50" s="7"/>
      <x:c r="M50" s="7"/>
      <x:c r="N50" s="7"/>
      <x:c r="O50" s="7"/>
      <x:c r="P50" s="7"/>
      <x:c r="Q50" s="6"/>
      <x:c r="R50" s="7"/>
      <x:c r="S50" s="6"/>
      <x:c r="T50" s="6"/>
      <x:c r="U50" s="6"/>
      <x:c r="V50" s="7"/>
      <x:c r="W50" s="6"/>
      <x:c r="X50" s="7"/>
      <x:c r="Y50" s="9" t="str">
        <x:f>IF(A50="","",IF(OR(K50="Complete",K50="Declined",K50="Closed without data"),"Collection closed",IF(OR(I50="",J50=""),"Date unverified",IF(I50&lt;'Dashboard'!$B$4,"Overdue",IF(I50&lt;='Dashboard'!$B$4+'Dashboard'!$B$5,"Due soon","Later")))))</x:f>
      </x:c>
      <x:c r="Z50" s="9" t="str">
        <x:f>IF(A50="","",IF(H50="","Unassigned",IF(AND(L50&lt;&gt;"",M50=""),"Awaiting acknowledgement",IF(AND(R50&lt;&gt;"",R50&lt;'Dashboard'!$B$4),"Action date passed",IF(AND(OR(K50="Not started",K50="In progress",K50="Awaiting return",K50="Received partial",K50="Unable to reach"),OR(Q50="",R50="")),"Next action missing","No handoff flag")))))</x:f>
      </x:c>
      <x:c r="AA50" s="9" t="str">
        <x:f>IF(A50="","",IF(COUNTIFS($A$6:$A$205,A50)&gt;1,"Duplicate task ID",IF(COUNTIFS($B$6:$B$205,B50,$D$6:$D$205,D50,$E$6:$E$205,E50,$F$6:$F$205,F50)&gt;1,"Duplicate cycle/instrument",IF(OR(B50="",C50="Check roster",C50="Site missing",D50="",E50="",F50="",G50="",G50="Needs verification",K50="",S50="",U50="",X50=""),"Missing core fields",IF(AND(OR(K50="Complete",K50="Received partial"),O50=""),"Missing completion date",IF(AND(U50="Verified submitted",OR(V50="",W50="",S50&lt;&gt;"Verified")),"Submission evidence gap",IF(AND(S50="Verified",T50=""),"Source evidence gap","Recorded")))))))</x:f>
      </x:c>
      <x:c r="AB50" s="9" t="str">
        <x:f>IF(A50="","",IF(OR(I50="",J50=""),"Undated",IF(AND(I50&gt;='Dashboard'!$B$6,I50&lt;='Dashboard'!$B$7),"In period","Outside period")))</x:f>
      </x:c>
      <x:c r="AC50" s="9" t="str">
        <x:f>IF(A50="","",IF(AND(OR(K50="Complete",K50="Received partial"),O50&lt;&gt;"",O50&lt;='Dashboard'!$B$4),1,0))</x:f>
      </x:c>
      <x:c r="AD50" s="9" t="str">
        <x:f>IF(A50="","",IF(AND(U50="Verified submitted",V50&lt;&gt;"",V50&lt;='Dashboard'!$B$4,W50&lt;&gt;"",S50="Verified",T50&lt;&gt;""),1,0))</x:f>
      </x:c>
      <x:c r="AE50" s="1"/>
      <x:c r="AF50" s="1"/>
      <x:c r="AG50" s="1"/>
      <x:c r="AH50" s="1"/>
    </x:row>
    <x:row r="51" ht="23" customHeight="1">
      <x:c r="A51" s="8"/>
      <x:c r="B51" s="8"/>
      <x:c r="C51" s="9" t="str">
        <x:f>IF(B51="","",IF(COUNTIFS('Roster'!$A$6:$A$205,B51)&lt;&gt;1,"Check roster",IF(INDEX('Roster'!$B$6:$B$205,MATCH(B51,'Roster'!$A$6:$A$205,0))="","Site missing",INDEX('Roster'!$B$6:$B$205,MATCH(B51,'Roster'!$A$6:$A$205,0)))))</x:f>
      </x:c>
      <x:c r="D51" s="6"/>
      <x:c r="E51" s="7"/>
      <x:c r="F51" s="6"/>
      <x:c r="G51" s="6"/>
      <x:c r="H51" s="6"/>
      <x:c r="I51" s="7"/>
      <x:c r="J51" s="6"/>
      <x:c r="K51" s="6"/>
      <x:c r="L51" s="7"/>
      <x:c r="M51" s="7"/>
      <x:c r="N51" s="7"/>
      <x:c r="O51" s="7"/>
      <x:c r="P51" s="7"/>
      <x:c r="Q51" s="6"/>
      <x:c r="R51" s="7"/>
      <x:c r="S51" s="6"/>
      <x:c r="T51" s="6"/>
      <x:c r="U51" s="6"/>
      <x:c r="V51" s="7"/>
      <x:c r="W51" s="6"/>
      <x:c r="X51" s="7"/>
      <x:c r="Y51" s="9" t="str">
        <x:f>IF(A51="","",IF(OR(K51="Complete",K51="Declined",K51="Closed without data"),"Collection closed",IF(OR(I51="",J51=""),"Date unverified",IF(I51&lt;'Dashboard'!$B$4,"Overdue",IF(I51&lt;='Dashboard'!$B$4+'Dashboard'!$B$5,"Due soon","Later")))))</x:f>
      </x:c>
      <x:c r="Z51" s="9" t="str">
        <x:f>IF(A51="","",IF(H51="","Unassigned",IF(AND(L51&lt;&gt;"",M51=""),"Awaiting acknowledgement",IF(AND(R51&lt;&gt;"",R51&lt;'Dashboard'!$B$4),"Action date passed",IF(AND(OR(K51="Not started",K51="In progress",K51="Awaiting return",K51="Received partial",K51="Unable to reach"),OR(Q51="",R51="")),"Next action missing","No handoff flag")))))</x:f>
      </x:c>
      <x:c r="AA51" s="9" t="str">
        <x:f>IF(A51="","",IF(COUNTIFS($A$6:$A$205,A51)&gt;1,"Duplicate task ID",IF(COUNTIFS($B$6:$B$205,B51,$D$6:$D$205,D51,$E$6:$E$205,E51,$F$6:$F$205,F51)&gt;1,"Duplicate cycle/instrument",IF(OR(B51="",C51="Check roster",C51="Site missing",D51="",E51="",F51="",G51="",G51="Needs verification",K51="",S51="",U51="",X51=""),"Missing core fields",IF(AND(OR(K51="Complete",K51="Received partial"),O51=""),"Missing completion date",IF(AND(U51="Verified submitted",OR(V51="",W51="",S51&lt;&gt;"Verified")),"Submission evidence gap",IF(AND(S51="Verified",T51=""),"Source evidence gap","Recorded")))))))</x:f>
      </x:c>
      <x:c r="AB51" s="9" t="str">
        <x:f>IF(A51="","",IF(OR(I51="",J51=""),"Undated",IF(AND(I51&gt;='Dashboard'!$B$6,I51&lt;='Dashboard'!$B$7),"In period","Outside period")))</x:f>
      </x:c>
      <x:c r="AC51" s="9" t="str">
        <x:f>IF(A51="","",IF(AND(OR(K51="Complete",K51="Received partial"),O51&lt;&gt;"",O51&lt;='Dashboard'!$B$4),1,0))</x:f>
      </x:c>
      <x:c r="AD51" s="9" t="str">
        <x:f>IF(A51="","",IF(AND(U51="Verified submitted",V51&lt;&gt;"",V51&lt;='Dashboard'!$B$4,W51&lt;&gt;"",S51="Verified",T51&lt;&gt;""),1,0))</x:f>
      </x:c>
      <x:c r="AE51" s="1"/>
      <x:c r="AF51" s="1"/>
      <x:c r="AG51" s="1"/>
      <x:c r="AH51" s="1"/>
    </x:row>
    <x:row r="52" ht="23" customHeight="1">
      <x:c r="A52" s="8"/>
      <x:c r="B52" s="8"/>
      <x:c r="C52" s="9" t="str">
        <x:f>IF(B52="","",IF(COUNTIFS('Roster'!$A$6:$A$205,B52)&lt;&gt;1,"Check roster",IF(INDEX('Roster'!$B$6:$B$205,MATCH(B52,'Roster'!$A$6:$A$205,0))="","Site missing",INDEX('Roster'!$B$6:$B$205,MATCH(B52,'Roster'!$A$6:$A$205,0)))))</x:f>
      </x:c>
      <x:c r="D52" s="6"/>
      <x:c r="E52" s="7"/>
      <x:c r="F52" s="6"/>
      <x:c r="G52" s="6"/>
      <x:c r="H52" s="6"/>
      <x:c r="I52" s="7"/>
      <x:c r="J52" s="6"/>
      <x:c r="K52" s="6"/>
      <x:c r="L52" s="7"/>
      <x:c r="M52" s="7"/>
      <x:c r="N52" s="7"/>
      <x:c r="O52" s="7"/>
      <x:c r="P52" s="7"/>
      <x:c r="Q52" s="6"/>
      <x:c r="R52" s="7"/>
      <x:c r="S52" s="6"/>
      <x:c r="T52" s="6"/>
      <x:c r="U52" s="6"/>
      <x:c r="V52" s="7"/>
      <x:c r="W52" s="6"/>
      <x:c r="X52" s="7"/>
      <x:c r="Y52" s="9" t="str">
        <x:f>IF(A52="","",IF(OR(K52="Complete",K52="Declined",K52="Closed without data"),"Collection closed",IF(OR(I52="",J52=""),"Date unverified",IF(I52&lt;'Dashboard'!$B$4,"Overdue",IF(I52&lt;='Dashboard'!$B$4+'Dashboard'!$B$5,"Due soon","Later")))))</x:f>
      </x:c>
      <x:c r="Z52" s="9" t="str">
        <x:f>IF(A52="","",IF(H52="","Unassigned",IF(AND(L52&lt;&gt;"",M52=""),"Awaiting acknowledgement",IF(AND(R52&lt;&gt;"",R52&lt;'Dashboard'!$B$4),"Action date passed",IF(AND(OR(K52="Not started",K52="In progress",K52="Awaiting return",K52="Received partial",K52="Unable to reach"),OR(Q52="",R52="")),"Next action missing","No handoff flag")))))</x:f>
      </x:c>
      <x:c r="AA52" s="9" t="str">
        <x:f>IF(A52="","",IF(COUNTIFS($A$6:$A$205,A52)&gt;1,"Duplicate task ID",IF(COUNTIFS($B$6:$B$205,B52,$D$6:$D$205,D52,$E$6:$E$205,E52,$F$6:$F$205,F52)&gt;1,"Duplicate cycle/instrument",IF(OR(B52="",C52="Check roster",C52="Site missing",D52="",E52="",F52="",G52="",G52="Needs verification",K52="",S52="",U52="",X52=""),"Missing core fields",IF(AND(OR(K52="Complete",K52="Received partial"),O52=""),"Missing completion date",IF(AND(U52="Verified submitted",OR(V52="",W52="",S52&lt;&gt;"Verified")),"Submission evidence gap",IF(AND(S52="Verified",T52=""),"Source evidence gap","Recorded")))))))</x:f>
      </x:c>
      <x:c r="AB52" s="9" t="str">
        <x:f>IF(A52="","",IF(OR(I52="",J52=""),"Undated",IF(AND(I52&gt;='Dashboard'!$B$6,I52&lt;='Dashboard'!$B$7),"In period","Outside period")))</x:f>
      </x:c>
      <x:c r="AC52" s="9" t="str">
        <x:f>IF(A52="","",IF(AND(OR(K52="Complete",K52="Received partial"),O52&lt;&gt;"",O52&lt;='Dashboard'!$B$4),1,0))</x:f>
      </x:c>
      <x:c r="AD52" s="9" t="str">
        <x:f>IF(A52="","",IF(AND(U52="Verified submitted",V52&lt;&gt;"",V52&lt;='Dashboard'!$B$4,W52&lt;&gt;"",S52="Verified",T52&lt;&gt;""),1,0))</x:f>
      </x:c>
      <x:c r="AE52" s="1"/>
      <x:c r="AF52" s="1"/>
      <x:c r="AG52" s="1"/>
      <x:c r="AH52" s="1"/>
    </x:row>
    <x:row r="53" ht="23" customHeight="1">
      <x:c r="A53" s="8"/>
      <x:c r="B53" s="8"/>
      <x:c r="C53" s="9" t="str">
        <x:f>IF(B53="","",IF(COUNTIFS('Roster'!$A$6:$A$205,B53)&lt;&gt;1,"Check roster",IF(INDEX('Roster'!$B$6:$B$205,MATCH(B53,'Roster'!$A$6:$A$205,0))="","Site missing",INDEX('Roster'!$B$6:$B$205,MATCH(B53,'Roster'!$A$6:$A$205,0)))))</x:f>
      </x:c>
      <x:c r="D53" s="6"/>
      <x:c r="E53" s="7"/>
      <x:c r="F53" s="6"/>
      <x:c r="G53" s="6"/>
      <x:c r="H53" s="6"/>
      <x:c r="I53" s="7"/>
      <x:c r="J53" s="6"/>
      <x:c r="K53" s="6"/>
      <x:c r="L53" s="7"/>
      <x:c r="M53" s="7"/>
      <x:c r="N53" s="7"/>
      <x:c r="O53" s="7"/>
      <x:c r="P53" s="7"/>
      <x:c r="Q53" s="6"/>
      <x:c r="R53" s="7"/>
      <x:c r="S53" s="6"/>
      <x:c r="T53" s="6"/>
      <x:c r="U53" s="6"/>
      <x:c r="V53" s="7"/>
      <x:c r="W53" s="6"/>
      <x:c r="X53" s="7"/>
      <x:c r="Y53" s="9" t="str">
        <x:f>IF(A53="","",IF(OR(K53="Complete",K53="Declined",K53="Closed without data"),"Collection closed",IF(OR(I53="",J53=""),"Date unverified",IF(I53&lt;'Dashboard'!$B$4,"Overdue",IF(I53&lt;='Dashboard'!$B$4+'Dashboard'!$B$5,"Due soon","Later")))))</x:f>
      </x:c>
      <x:c r="Z53" s="9" t="str">
        <x:f>IF(A53="","",IF(H53="","Unassigned",IF(AND(L53&lt;&gt;"",M53=""),"Awaiting acknowledgement",IF(AND(R53&lt;&gt;"",R53&lt;'Dashboard'!$B$4),"Action date passed",IF(AND(OR(K53="Not started",K53="In progress",K53="Awaiting return",K53="Received partial",K53="Unable to reach"),OR(Q53="",R53="")),"Next action missing","No handoff flag")))))</x:f>
      </x:c>
      <x:c r="AA53" s="9" t="str">
        <x:f>IF(A53="","",IF(COUNTIFS($A$6:$A$205,A53)&gt;1,"Duplicate task ID",IF(COUNTIFS($B$6:$B$205,B53,$D$6:$D$205,D53,$E$6:$E$205,E53,$F$6:$F$205,F53)&gt;1,"Duplicate cycle/instrument",IF(OR(B53="",C53="Check roster",C53="Site missing",D53="",E53="",F53="",G53="",G53="Needs verification",K53="",S53="",U53="",X53=""),"Missing core fields",IF(AND(OR(K53="Complete",K53="Received partial"),O53=""),"Missing completion date",IF(AND(U53="Verified submitted",OR(V53="",W53="",S53&lt;&gt;"Verified")),"Submission evidence gap",IF(AND(S53="Verified",T53=""),"Source evidence gap","Recorded")))))))</x:f>
      </x:c>
      <x:c r="AB53" s="9" t="str">
        <x:f>IF(A53="","",IF(OR(I53="",J53=""),"Undated",IF(AND(I53&gt;='Dashboard'!$B$6,I53&lt;='Dashboard'!$B$7),"In period","Outside period")))</x:f>
      </x:c>
      <x:c r="AC53" s="9" t="str">
        <x:f>IF(A53="","",IF(AND(OR(K53="Complete",K53="Received partial"),O53&lt;&gt;"",O53&lt;='Dashboard'!$B$4),1,0))</x:f>
      </x:c>
      <x:c r="AD53" s="9" t="str">
        <x:f>IF(A53="","",IF(AND(U53="Verified submitted",V53&lt;&gt;"",V53&lt;='Dashboard'!$B$4,W53&lt;&gt;"",S53="Verified",T53&lt;&gt;""),1,0))</x:f>
      </x:c>
      <x:c r="AE53" s="1"/>
      <x:c r="AF53" s="1"/>
      <x:c r="AG53" s="1"/>
      <x:c r="AH53" s="1"/>
    </x:row>
    <x:row r="54" ht="23" customHeight="1">
      <x:c r="A54" s="8"/>
      <x:c r="B54" s="8"/>
      <x:c r="C54" s="9" t="str">
        <x:f>IF(B54="","",IF(COUNTIFS('Roster'!$A$6:$A$205,B54)&lt;&gt;1,"Check roster",IF(INDEX('Roster'!$B$6:$B$205,MATCH(B54,'Roster'!$A$6:$A$205,0))="","Site missing",INDEX('Roster'!$B$6:$B$205,MATCH(B54,'Roster'!$A$6:$A$205,0)))))</x:f>
      </x:c>
      <x:c r="D54" s="6"/>
      <x:c r="E54" s="7"/>
      <x:c r="F54" s="6"/>
      <x:c r="G54" s="6"/>
      <x:c r="H54" s="6"/>
      <x:c r="I54" s="7"/>
      <x:c r="J54" s="6"/>
      <x:c r="K54" s="6"/>
      <x:c r="L54" s="7"/>
      <x:c r="M54" s="7"/>
      <x:c r="N54" s="7"/>
      <x:c r="O54" s="7"/>
      <x:c r="P54" s="7"/>
      <x:c r="Q54" s="6"/>
      <x:c r="R54" s="7"/>
      <x:c r="S54" s="6"/>
      <x:c r="T54" s="6"/>
      <x:c r="U54" s="6"/>
      <x:c r="V54" s="7"/>
      <x:c r="W54" s="6"/>
      <x:c r="X54" s="7"/>
      <x:c r="Y54" s="9" t="str">
        <x:f>IF(A54="","",IF(OR(K54="Complete",K54="Declined",K54="Closed without data"),"Collection closed",IF(OR(I54="",J54=""),"Date unverified",IF(I54&lt;'Dashboard'!$B$4,"Overdue",IF(I54&lt;='Dashboard'!$B$4+'Dashboard'!$B$5,"Due soon","Later")))))</x:f>
      </x:c>
      <x:c r="Z54" s="9" t="str">
        <x:f>IF(A54="","",IF(H54="","Unassigned",IF(AND(L54&lt;&gt;"",M54=""),"Awaiting acknowledgement",IF(AND(R54&lt;&gt;"",R54&lt;'Dashboard'!$B$4),"Action date passed",IF(AND(OR(K54="Not started",K54="In progress",K54="Awaiting return",K54="Received partial",K54="Unable to reach"),OR(Q54="",R54="")),"Next action missing","No handoff flag")))))</x:f>
      </x:c>
      <x:c r="AA54" s="9" t="str">
        <x:f>IF(A54="","",IF(COUNTIFS($A$6:$A$205,A54)&gt;1,"Duplicate task ID",IF(COUNTIFS($B$6:$B$205,B54,$D$6:$D$205,D54,$E$6:$E$205,E54,$F$6:$F$205,F54)&gt;1,"Duplicate cycle/instrument",IF(OR(B54="",C54="Check roster",C54="Site missing",D54="",E54="",F54="",G54="",G54="Needs verification",K54="",S54="",U54="",X54=""),"Missing core fields",IF(AND(OR(K54="Complete",K54="Received partial"),O54=""),"Missing completion date",IF(AND(U54="Verified submitted",OR(V54="",W54="",S54&lt;&gt;"Verified")),"Submission evidence gap",IF(AND(S54="Verified",T54=""),"Source evidence gap","Recorded")))))))</x:f>
      </x:c>
      <x:c r="AB54" s="9" t="str">
        <x:f>IF(A54="","",IF(OR(I54="",J54=""),"Undated",IF(AND(I54&gt;='Dashboard'!$B$6,I54&lt;='Dashboard'!$B$7),"In period","Outside period")))</x:f>
      </x:c>
      <x:c r="AC54" s="9" t="str">
        <x:f>IF(A54="","",IF(AND(OR(K54="Complete",K54="Received partial"),O54&lt;&gt;"",O54&lt;='Dashboard'!$B$4),1,0))</x:f>
      </x:c>
      <x:c r="AD54" s="9" t="str">
        <x:f>IF(A54="","",IF(AND(U54="Verified submitted",V54&lt;&gt;"",V54&lt;='Dashboard'!$B$4,W54&lt;&gt;"",S54="Verified",T54&lt;&gt;""),1,0))</x:f>
      </x:c>
      <x:c r="AE54" s="1"/>
      <x:c r="AF54" s="1"/>
      <x:c r="AG54" s="1"/>
      <x:c r="AH54" s="1"/>
    </x:row>
    <x:row r="55" ht="23" customHeight="1">
      <x:c r="A55" s="8"/>
      <x:c r="B55" s="8"/>
      <x:c r="C55" s="9" t="str">
        <x:f>IF(B55="","",IF(COUNTIFS('Roster'!$A$6:$A$205,B55)&lt;&gt;1,"Check roster",IF(INDEX('Roster'!$B$6:$B$205,MATCH(B55,'Roster'!$A$6:$A$205,0))="","Site missing",INDEX('Roster'!$B$6:$B$205,MATCH(B55,'Roster'!$A$6:$A$205,0)))))</x:f>
      </x:c>
      <x:c r="D55" s="6"/>
      <x:c r="E55" s="7"/>
      <x:c r="F55" s="6"/>
      <x:c r="G55" s="6"/>
      <x:c r="H55" s="6"/>
      <x:c r="I55" s="7"/>
      <x:c r="J55" s="6"/>
      <x:c r="K55" s="6"/>
      <x:c r="L55" s="7"/>
      <x:c r="M55" s="7"/>
      <x:c r="N55" s="7"/>
      <x:c r="O55" s="7"/>
      <x:c r="P55" s="7"/>
      <x:c r="Q55" s="6"/>
      <x:c r="R55" s="7"/>
      <x:c r="S55" s="6"/>
      <x:c r="T55" s="6"/>
      <x:c r="U55" s="6"/>
      <x:c r="V55" s="7"/>
      <x:c r="W55" s="6"/>
      <x:c r="X55" s="7"/>
      <x:c r="Y55" s="9" t="str">
        <x:f>IF(A55="","",IF(OR(K55="Complete",K55="Declined",K55="Closed without data"),"Collection closed",IF(OR(I55="",J55=""),"Date unverified",IF(I55&lt;'Dashboard'!$B$4,"Overdue",IF(I55&lt;='Dashboard'!$B$4+'Dashboard'!$B$5,"Due soon","Later")))))</x:f>
      </x:c>
      <x:c r="Z55" s="9" t="str">
        <x:f>IF(A55="","",IF(H55="","Unassigned",IF(AND(L55&lt;&gt;"",M55=""),"Awaiting acknowledgement",IF(AND(R55&lt;&gt;"",R55&lt;'Dashboard'!$B$4),"Action date passed",IF(AND(OR(K55="Not started",K55="In progress",K55="Awaiting return",K55="Received partial",K55="Unable to reach"),OR(Q55="",R55="")),"Next action missing","No handoff flag")))))</x:f>
      </x:c>
      <x:c r="AA55" s="9" t="str">
        <x:f>IF(A55="","",IF(COUNTIFS($A$6:$A$205,A55)&gt;1,"Duplicate task ID",IF(COUNTIFS($B$6:$B$205,B55,$D$6:$D$205,D55,$E$6:$E$205,E55,$F$6:$F$205,F55)&gt;1,"Duplicate cycle/instrument",IF(OR(B55="",C55="Check roster",C55="Site missing",D55="",E55="",F55="",G55="",G55="Needs verification",K55="",S55="",U55="",X55=""),"Missing core fields",IF(AND(OR(K55="Complete",K55="Received partial"),O55=""),"Missing completion date",IF(AND(U55="Verified submitted",OR(V55="",W55="",S55&lt;&gt;"Verified")),"Submission evidence gap",IF(AND(S55="Verified",T55=""),"Source evidence gap","Recorded")))))))</x:f>
      </x:c>
      <x:c r="AB55" s="9" t="str">
        <x:f>IF(A55="","",IF(OR(I55="",J55=""),"Undated",IF(AND(I55&gt;='Dashboard'!$B$6,I55&lt;='Dashboard'!$B$7),"In period","Outside period")))</x:f>
      </x:c>
      <x:c r="AC55" s="9" t="str">
        <x:f>IF(A55="","",IF(AND(OR(K55="Complete",K55="Received partial"),O55&lt;&gt;"",O55&lt;='Dashboard'!$B$4),1,0))</x:f>
      </x:c>
      <x:c r="AD55" s="9" t="str">
        <x:f>IF(A55="","",IF(AND(U55="Verified submitted",V55&lt;&gt;"",V55&lt;='Dashboard'!$B$4,W55&lt;&gt;"",S55="Verified",T55&lt;&gt;""),1,0))</x:f>
      </x:c>
      <x:c r="AE55" s="1"/>
      <x:c r="AF55" s="1"/>
      <x:c r="AG55" s="1"/>
      <x:c r="AH55" s="1"/>
    </x:row>
    <x:row r="56" ht="23" customHeight="1">
      <x:c r="A56" s="8"/>
      <x:c r="B56" s="8"/>
      <x:c r="C56" s="9" t="str">
        <x:f>IF(B56="","",IF(COUNTIFS('Roster'!$A$6:$A$205,B56)&lt;&gt;1,"Check roster",IF(INDEX('Roster'!$B$6:$B$205,MATCH(B56,'Roster'!$A$6:$A$205,0))="","Site missing",INDEX('Roster'!$B$6:$B$205,MATCH(B56,'Roster'!$A$6:$A$205,0)))))</x:f>
      </x:c>
      <x:c r="D56" s="6"/>
      <x:c r="E56" s="7"/>
      <x:c r="F56" s="6"/>
      <x:c r="G56" s="6"/>
      <x:c r="H56" s="6"/>
      <x:c r="I56" s="7"/>
      <x:c r="J56" s="6"/>
      <x:c r="K56" s="6"/>
      <x:c r="L56" s="7"/>
      <x:c r="M56" s="7"/>
      <x:c r="N56" s="7"/>
      <x:c r="O56" s="7"/>
      <x:c r="P56" s="7"/>
      <x:c r="Q56" s="6"/>
      <x:c r="R56" s="7"/>
      <x:c r="S56" s="6"/>
      <x:c r="T56" s="6"/>
      <x:c r="U56" s="6"/>
      <x:c r="V56" s="7"/>
      <x:c r="W56" s="6"/>
      <x:c r="X56" s="7"/>
      <x:c r="Y56" s="9" t="str">
        <x:f>IF(A56="","",IF(OR(K56="Complete",K56="Declined",K56="Closed without data"),"Collection closed",IF(OR(I56="",J56=""),"Date unverified",IF(I56&lt;'Dashboard'!$B$4,"Overdue",IF(I56&lt;='Dashboard'!$B$4+'Dashboard'!$B$5,"Due soon","Later")))))</x:f>
      </x:c>
      <x:c r="Z56" s="9" t="str">
        <x:f>IF(A56="","",IF(H56="","Unassigned",IF(AND(L56&lt;&gt;"",M56=""),"Awaiting acknowledgement",IF(AND(R56&lt;&gt;"",R56&lt;'Dashboard'!$B$4),"Action date passed",IF(AND(OR(K56="Not started",K56="In progress",K56="Awaiting return",K56="Received partial",K56="Unable to reach"),OR(Q56="",R56="")),"Next action missing","No handoff flag")))))</x:f>
      </x:c>
      <x:c r="AA56" s="9" t="str">
        <x:f>IF(A56="","",IF(COUNTIFS($A$6:$A$205,A56)&gt;1,"Duplicate task ID",IF(COUNTIFS($B$6:$B$205,B56,$D$6:$D$205,D56,$E$6:$E$205,E56,$F$6:$F$205,F56)&gt;1,"Duplicate cycle/instrument",IF(OR(B56="",C56="Check roster",C56="Site missing",D56="",E56="",F56="",G56="",G56="Needs verification",K56="",S56="",U56="",X56=""),"Missing core fields",IF(AND(OR(K56="Complete",K56="Received partial"),O56=""),"Missing completion date",IF(AND(U56="Verified submitted",OR(V56="",W56="",S56&lt;&gt;"Verified")),"Submission evidence gap",IF(AND(S56="Verified",T56=""),"Source evidence gap","Recorded")))))))</x:f>
      </x:c>
      <x:c r="AB56" s="9" t="str">
        <x:f>IF(A56="","",IF(OR(I56="",J56=""),"Undated",IF(AND(I56&gt;='Dashboard'!$B$6,I56&lt;='Dashboard'!$B$7),"In period","Outside period")))</x:f>
      </x:c>
      <x:c r="AC56" s="9" t="str">
        <x:f>IF(A56="","",IF(AND(OR(K56="Complete",K56="Received partial"),O56&lt;&gt;"",O56&lt;='Dashboard'!$B$4),1,0))</x:f>
      </x:c>
      <x:c r="AD56" s="9" t="str">
        <x:f>IF(A56="","",IF(AND(U56="Verified submitted",V56&lt;&gt;"",V56&lt;='Dashboard'!$B$4,W56&lt;&gt;"",S56="Verified",T56&lt;&gt;""),1,0))</x:f>
      </x:c>
      <x:c r="AE56" s="1"/>
      <x:c r="AF56" s="1"/>
      <x:c r="AG56" s="1"/>
      <x:c r="AH56" s="1"/>
    </x:row>
    <x:row r="57" ht="23" customHeight="1">
      <x:c r="A57" s="8"/>
      <x:c r="B57" s="8"/>
      <x:c r="C57" s="9" t="str">
        <x:f>IF(B57="","",IF(COUNTIFS('Roster'!$A$6:$A$205,B57)&lt;&gt;1,"Check roster",IF(INDEX('Roster'!$B$6:$B$205,MATCH(B57,'Roster'!$A$6:$A$205,0))="","Site missing",INDEX('Roster'!$B$6:$B$205,MATCH(B57,'Roster'!$A$6:$A$205,0)))))</x:f>
      </x:c>
      <x:c r="D57" s="6"/>
      <x:c r="E57" s="7"/>
      <x:c r="F57" s="6"/>
      <x:c r="G57" s="6"/>
      <x:c r="H57" s="6"/>
      <x:c r="I57" s="7"/>
      <x:c r="J57" s="6"/>
      <x:c r="K57" s="6"/>
      <x:c r="L57" s="7"/>
      <x:c r="M57" s="7"/>
      <x:c r="N57" s="7"/>
      <x:c r="O57" s="7"/>
      <x:c r="P57" s="7"/>
      <x:c r="Q57" s="6"/>
      <x:c r="R57" s="7"/>
      <x:c r="S57" s="6"/>
      <x:c r="T57" s="6"/>
      <x:c r="U57" s="6"/>
      <x:c r="V57" s="7"/>
      <x:c r="W57" s="6"/>
      <x:c r="X57" s="7"/>
      <x:c r="Y57" s="9" t="str">
        <x:f>IF(A57="","",IF(OR(K57="Complete",K57="Declined",K57="Closed without data"),"Collection closed",IF(OR(I57="",J57=""),"Date unverified",IF(I57&lt;'Dashboard'!$B$4,"Overdue",IF(I57&lt;='Dashboard'!$B$4+'Dashboard'!$B$5,"Due soon","Later")))))</x:f>
      </x:c>
      <x:c r="Z57" s="9" t="str">
        <x:f>IF(A57="","",IF(H57="","Unassigned",IF(AND(L57&lt;&gt;"",M57=""),"Awaiting acknowledgement",IF(AND(R57&lt;&gt;"",R57&lt;'Dashboard'!$B$4),"Action date passed",IF(AND(OR(K57="Not started",K57="In progress",K57="Awaiting return",K57="Received partial",K57="Unable to reach"),OR(Q57="",R57="")),"Next action missing","No handoff flag")))))</x:f>
      </x:c>
      <x:c r="AA57" s="9" t="str">
        <x:f>IF(A57="","",IF(COUNTIFS($A$6:$A$205,A57)&gt;1,"Duplicate task ID",IF(COUNTIFS($B$6:$B$205,B57,$D$6:$D$205,D57,$E$6:$E$205,E57,$F$6:$F$205,F57)&gt;1,"Duplicate cycle/instrument",IF(OR(B57="",C57="Check roster",C57="Site missing",D57="",E57="",F57="",G57="",G57="Needs verification",K57="",S57="",U57="",X57=""),"Missing core fields",IF(AND(OR(K57="Complete",K57="Received partial"),O57=""),"Missing completion date",IF(AND(U57="Verified submitted",OR(V57="",W57="",S57&lt;&gt;"Verified")),"Submission evidence gap",IF(AND(S57="Verified",T57=""),"Source evidence gap","Recorded")))))))</x:f>
      </x:c>
      <x:c r="AB57" s="9" t="str">
        <x:f>IF(A57="","",IF(OR(I57="",J57=""),"Undated",IF(AND(I57&gt;='Dashboard'!$B$6,I57&lt;='Dashboard'!$B$7),"In period","Outside period")))</x:f>
      </x:c>
      <x:c r="AC57" s="9" t="str">
        <x:f>IF(A57="","",IF(AND(OR(K57="Complete",K57="Received partial"),O57&lt;&gt;"",O57&lt;='Dashboard'!$B$4),1,0))</x:f>
      </x:c>
      <x:c r="AD57" s="9" t="str">
        <x:f>IF(A57="","",IF(AND(U57="Verified submitted",V57&lt;&gt;"",V57&lt;='Dashboard'!$B$4,W57&lt;&gt;"",S57="Verified",T57&lt;&gt;""),1,0))</x:f>
      </x:c>
      <x:c r="AE57" s="1"/>
      <x:c r="AF57" s="1"/>
      <x:c r="AG57" s="1"/>
      <x:c r="AH57" s="1"/>
    </x:row>
    <x:row r="58" ht="23" customHeight="1">
      <x:c r="A58" s="8"/>
      <x:c r="B58" s="8"/>
      <x:c r="C58" s="9" t="str">
        <x:f>IF(B58="","",IF(COUNTIFS('Roster'!$A$6:$A$205,B58)&lt;&gt;1,"Check roster",IF(INDEX('Roster'!$B$6:$B$205,MATCH(B58,'Roster'!$A$6:$A$205,0))="","Site missing",INDEX('Roster'!$B$6:$B$205,MATCH(B58,'Roster'!$A$6:$A$205,0)))))</x:f>
      </x:c>
      <x:c r="D58" s="6"/>
      <x:c r="E58" s="7"/>
      <x:c r="F58" s="6"/>
      <x:c r="G58" s="6"/>
      <x:c r="H58" s="6"/>
      <x:c r="I58" s="7"/>
      <x:c r="J58" s="6"/>
      <x:c r="K58" s="6"/>
      <x:c r="L58" s="7"/>
      <x:c r="M58" s="7"/>
      <x:c r="N58" s="7"/>
      <x:c r="O58" s="7"/>
      <x:c r="P58" s="7"/>
      <x:c r="Q58" s="6"/>
      <x:c r="R58" s="7"/>
      <x:c r="S58" s="6"/>
      <x:c r="T58" s="6"/>
      <x:c r="U58" s="6"/>
      <x:c r="V58" s="7"/>
      <x:c r="W58" s="6"/>
      <x:c r="X58" s="7"/>
      <x:c r="Y58" s="9" t="str">
        <x:f>IF(A58="","",IF(OR(K58="Complete",K58="Declined",K58="Closed without data"),"Collection closed",IF(OR(I58="",J58=""),"Date unverified",IF(I58&lt;'Dashboard'!$B$4,"Overdue",IF(I58&lt;='Dashboard'!$B$4+'Dashboard'!$B$5,"Due soon","Later")))))</x:f>
      </x:c>
      <x:c r="Z58" s="9" t="str">
        <x:f>IF(A58="","",IF(H58="","Unassigned",IF(AND(L58&lt;&gt;"",M58=""),"Awaiting acknowledgement",IF(AND(R58&lt;&gt;"",R58&lt;'Dashboard'!$B$4),"Action date passed",IF(AND(OR(K58="Not started",K58="In progress",K58="Awaiting return",K58="Received partial",K58="Unable to reach"),OR(Q58="",R58="")),"Next action missing","No handoff flag")))))</x:f>
      </x:c>
      <x:c r="AA58" s="9" t="str">
        <x:f>IF(A58="","",IF(COUNTIFS($A$6:$A$205,A58)&gt;1,"Duplicate task ID",IF(COUNTIFS($B$6:$B$205,B58,$D$6:$D$205,D58,$E$6:$E$205,E58,$F$6:$F$205,F58)&gt;1,"Duplicate cycle/instrument",IF(OR(B58="",C58="Check roster",C58="Site missing",D58="",E58="",F58="",G58="",G58="Needs verification",K58="",S58="",U58="",X58=""),"Missing core fields",IF(AND(OR(K58="Complete",K58="Received partial"),O58=""),"Missing completion date",IF(AND(U58="Verified submitted",OR(V58="",W58="",S58&lt;&gt;"Verified")),"Submission evidence gap",IF(AND(S58="Verified",T58=""),"Source evidence gap","Recorded")))))))</x:f>
      </x:c>
      <x:c r="AB58" s="9" t="str">
        <x:f>IF(A58="","",IF(OR(I58="",J58=""),"Undated",IF(AND(I58&gt;='Dashboard'!$B$6,I58&lt;='Dashboard'!$B$7),"In period","Outside period")))</x:f>
      </x:c>
      <x:c r="AC58" s="9" t="str">
        <x:f>IF(A58="","",IF(AND(OR(K58="Complete",K58="Received partial"),O58&lt;&gt;"",O58&lt;='Dashboard'!$B$4),1,0))</x:f>
      </x:c>
      <x:c r="AD58" s="9" t="str">
        <x:f>IF(A58="","",IF(AND(U58="Verified submitted",V58&lt;&gt;"",V58&lt;='Dashboard'!$B$4,W58&lt;&gt;"",S58="Verified",T58&lt;&gt;""),1,0))</x:f>
      </x:c>
      <x:c r="AE58" s="1"/>
      <x:c r="AF58" s="1"/>
      <x:c r="AG58" s="1"/>
      <x:c r="AH58" s="1"/>
    </x:row>
    <x:row r="59" ht="23" customHeight="1">
      <x:c r="A59" s="8"/>
      <x:c r="B59" s="8"/>
      <x:c r="C59" s="9" t="str">
        <x:f>IF(B59="","",IF(COUNTIFS('Roster'!$A$6:$A$205,B59)&lt;&gt;1,"Check roster",IF(INDEX('Roster'!$B$6:$B$205,MATCH(B59,'Roster'!$A$6:$A$205,0))="","Site missing",INDEX('Roster'!$B$6:$B$205,MATCH(B59,'Roster'!$A$6:$A$205,0)))))</x:f>
      </x:c>
      <x:c r="D59" s="6"/>
      <x:c r="E59" s="7"/>
      <x:c r="F59" s="6"/>
      <x:c r="G59" s="6"/>
      <x:c r="H59" s="6"/>
      <x:c r="I59" s="7"/>
      <x:c r="J59" s="6"/>
      <x:c r="K59" s="6"/>
      <x:c r="L59" s="7"/>
      <x:c r="M59" s="7"/>
      <x:c r="N59" s="7"/>
      <x:c r="O59" s="7"/>
      <x:c r="P59" s="7"/>
      <x:c r="Q59" s="6"/>
      <x:c r="R59" s="7"/>
      <x:c r="S59" s="6"/>
      <x:c r="T59" s="6"/>
      <x:c r="U59" s="6"/>
      <x:c r="V59" s="7"/>
      <x:c r="W59" s="6"/>
      <x:c r="X59" s="7"/>
      <x:c r="Y59" s="9" t="str">
        <x:f>IF(A59="","",IF(OR(K59="Complete",K59="Declined",K59="Closed without data"),"Collection closed",IF(OR(I59="",J59=""),"Date unverified",IF(I59&lt;'Dashboard'!$B$4,"Overdue",IF(I59&lt;='Dashboard'!$B$4+'Dashboard'!$B$5,"Due soon","Later")))))</x:f>
      </x:c>
      <x:c r="Z59" s="9" t="str">
        <x:f>IF(A59="","",IF(H59="","Unassigned",IF(AND(L59&lt;&gt;"",M59=""),"Awaiting acknowledgement",IF(AND(R59&lt;&gt;"",R59&lt;'Dashboard'!$B$4),"Action date passed",IF(AND(OR(K59="Not started",K59="In progress",K59="Awaiting return",K59="Received partial",K59="Unable to reach"),OR(Q59="",R59="")),"Next action missing","No handoff flag")))))</x:f>
      </x:c>
      <x:c r="AA59" s="9" t="str">
        <x:f>IF(A59="","",IF(COUNTIFS($A$6:$A$205,A59)&gt;1,"Duplicate task ID",IF(COUNTIFS($B$6:$B$205,B59,$D$6:$D$205,D59,$E$6:$E$205,E59,$F$6:$F$205,F59)&gt;1,"Duplicate cycle/instrument",IF(OR(B59="",C59="Check roster",C59="Site missing",D59="",E59="",F59="",G59="",G59="Needs verification",K59="",S59="",U59="",X59=""),"Missing core fields",IF(AND(OR(K59="Complete",K59="Received partial"),O59=""),"Missing completion date",IF(AND(U59="Verified submitted",OR(V59="",W59="",S59&lt;&gt;"Verified")),"Submission evidence gap",IF(AND(S59="Verified",T59=""),"Source evidence gap","Recorded")))))))</x:f>
      </x:c>
      <x:c r="AB59" s="9" t="str">
        <x:f>IF(A59="","",IF(OR(I59="",J59=""),"Undated",IF(AND(I59&gt;='Dashboard'!$B$6,I59&lt;='Dashboard'!$B$7),"In period","Outside period")))</x:f>
      </x:c>
      <x:c r="AC59" s="9" t="str">
        <x:f>IF(A59="","",IF(AND(OR(K59="Complete",K59="Received partial"),O59&lt;&gt;"",O59&lt;='Dashboard'!$B$4),1,0))</x:f>
      </x:c>
      <x:c r="AD59" s="9" t="str">
        <x:f>IF(A59="","",IF(AND(U59="Verified submitted",V59&lt;&gt;"",V59&lt;='Dashboard'!$B$4,W59&lt;&gt;"",S59="Verified",T59&lt;&gt;""),1,0))</x:f>
      </x:c>
      <x:c r="AE59" s="1"/>
      <x:c r="AF59" s="1"/>
      <x:c r="AG59" s="1"/>
      <x:c r="AH59" s="1"/>
    </x:row>
    <x:row r="60" ht="23" customHeight="1">
      <x:c r="A60" s="8"/>
      <x:c r="B60" s="8"/>
      <x:c r="C60" s="9" t="str">
        <x:f>IF(B60="","",IF(COUNTIFS('Roster'!$A$6:$A$205,B60)&lt;&gt;1,"Check roster",IF(INDEX('Roster'!$B$6:$B$205,MATCH(B60,'Roster'!$A$6:$A$205,0))="","Site missing",INDEX('Roster'!$B$6:$B$205,MATCH(B60,'Roster'!$A$6:$A$205,0)))))</x:f>
      </x:c>
      <x:c r="D60" s="6"/>
      <x:c r="E60" s="7"/>
      <x:c r="F60" s="6"/>
      <x:c r="G60" s="6"/>
      <x:c r="H60" s="6"/>
      <x:c r="I60" s="7"/>
      <x:c r="J60" s="6"/>
      <x:c r="K60" s="6"/>
      <x:c r="L60" s="7"/>
      <x:c r="M60" s="7"/>
      <x:c r="N60" s="7"/>
      <x:c r="O60" s="7"/>
      <x:c r="P60" s="7"/>
      <x:c r="Q60" s="6"/>
      <x:c r="R60" s="7"/>
      <x:c r="S60" s="6"/>
      <x:c r="T60" s="6"/>
      <x:c r="U60" s="6"/>
      <x:c r="V60" s="7"/>
      <x:c r="W60" s="6"/>
      <x:c r="X60" s="7"/>
      <x:c r="Y60" s="9" t="str">
        <x:f>IF(A60="","",IF(OR(K60="Complete",K60="Declined",K60="Closed without data"),"Collection closed",IF(OR(I60="",J60=""),"Date unverified",IF(I60&lt;'Dashboard'!$B$4,"Overdue",IF(I60&lt;='Dashboard'!$B$4+'Dashboard'!$B$5,"Due soon","Later")))))</x:f>
      </x:c>
      <x:c r="Z60" s="9" t="str">
        <x:f>IF(A60="","",IF(H60="","Unassigned",IF(AND(L60&lt;&gt;"",M60=""),"Awaiting acknowledgement",IF(AND(R60&lt;&gt;"",R60&lt;'Dashboard'!$B$4),"Action date passed",IF(AND(OR(K60="Not started",K60="In progress",K60="Awaiting return",K60="Received partial",K60="Unable to reach"),OR(Q60="",R60="")),"Next action missing","No handoff flag")))))</x:f>
      </x:c>
      <x:c r="AA60" s="9" t="str">
        <x:f>IF(A60="","",IF(COUNTIFS($A$6:$A$205,A60)&gt;1,"Duplicate task ID",IF(COUNTIFS($B$6:$B$205,B60,$D$6:$D$205,D60,$E$6:$E$205,E60,$F$6:$F$205,F60)&gt;1,"Duplicate cycle/instrument",IF(OR(B60="",C60="Check roster",C60="Site missing",D60="",E60="",F60="",G60="",G60="Needs verification",K60="",S60="",U60="",X60=""),"Missing core fields",IF(AND(OR(K60="Complete",K60="Received partial"),O60=""),"Missing completion date",IF(AND(U60="Verified submitted",OR(V60="",W60="",S60&lt;&gt;"Verified")),"Submission evidence gap",IF(AND(S60="Verified",T60=""),"Source evidence gap","Recorded")))))))</x:f>
      </x:c>
      <x:c r="AB60" s="9" t="str">
        <x:f>IF(A60="","",IF(OR(I60="",J60=""),"Undated",IF(AND(I60&gt;='Dashboard'!$B$6,I60&lt;='Dashboard'!$B$7),"In period","Outside period")))</x:f>
      </x:c>
      <x:c r="AC60" s="9" t="str">
        <x:f>IF(A60="","",IF(AND(OR(K60="Complete",K60="Received partial"),O60&lt;&gt;"",O60&lt;='Dashboard'!$B$4),1,0))</x:f>
      </x:c>
      <x:c r="AD60" s="9" t="str">
        <x:f>IF(A60="","",IF(AND(U60="Verified submitted",V60&lt;&gt;"",V60&lt;='Dashboard'!$B$4,W60&lt;&gt;"",S60="Verified",T60&lt;&gt;""),1,0))</x:f>
      </x:c>
      <x:c r="AE60" s="1"/>
      <x:c r="AF60" s="1"/>
      <x:c r="AG60" s="1"/>
      <x:c r="AH60" s="1"/>
    </x:row>
    <x:row r="61" ht="23" customHeight="1">
      <x:c r="A61" s="8"/>
      <x:c r="B61" s="8"/>
      <x:c r="C61" s="9" t="str">
        <x:f>IF(B61="","",IF(COUNTIFS('Roster'!$A$6:$A$205,B61)&lt;&gt;1,"Check roster",IF(INDEX('Roster'!$B$6:$B$205,MATCH(B61,'Roster'!$A$6:$A$205,0))="","Site missing",INDEX('Roster'!$B$6:$B$205,MATCH(B61,'Roster'!$A$6:$A$205,0)))))</x:f>
      </x:c>
      <x:c r="D61" s="6"/>
      <x:c r="E61" s="7"/>
      <x:c r="F61" s="6"/>
      <x:c r="G61" s="6"/>
      <x:c r="H61" s="6"/>
      <x:c r="I61" s="7"/>
      <x:c r="J61" s="6"/>
      <x:c r="K61" s="6"/>
      <x:c r="L61" s="7"/>
      <x:c r="M61" s="7"/>
      <x:c r="N61" s="7"/>
      <x:c r="O61" s="7"/>
      <x:c r="P61" s="7"/>
      <x:c r="Q61" s="6"/>
      <x:c r="R61" s="7"/>
      <x:c r="S61" s="6"/>
      <x:c r="T61" s="6"/>
      <x:c r="U61" s="6"/>
      <x:c r="V61" s="7"/>
      <x:c r="W61" s="6"/>
      <x:c r="X61" s="7"/>
      <x:c r="Y61" s="9" t="str">
        <x:f>IF(A61="","",IF(OR(K61="Complete",K61="Declined",K61="Closed without data"),"Collection closed",IF(OR(I61="",J61=""),"Date unverified",IF(I61&lt;'Dashboard'!$B$4,"Overdue",IF(I61&lt;='Dashboard'!$B$4+'Dashboard'!$B$5,"Due soon","Later")))))</x:f>
      </x:c>
      <x:c r="Z61" s="9" t="str">
        <x:f>IF(A61="","",IF(H61="","Unassigned",IF(AND(L61&lt;&gt;"",M61=""),"Awaiting acknowledgement",IF(AND(R61&lt;&gt;"",R61&lt;'Dashboard'!$B$4),"Action date passed",IF(AND(OR(K61="Not started",K61="In progress",K61="Awaiting return",K61="Received partial",K61="Unable to reach"),OR(Q61="",R61="")),"Next action missing","No handoff flag")))))</x:f>
      </x:c>
      <x:c r="AA61" s="9" t="str">
        <x:f>IF(A61="","",IF(COUNTIFS($A$6:$A$205,A61)&gt;1,"Duplicate task ID",IF(COUNTIFS($B$6:$B$205,B61,$D$6:$D$205,D61,$E$6:$E$205,E61,$F$6:$F$205,F61)&gt;1,"Duplicate cycle/instrument",IF(OR(B61="",C61="Check roster",C61="Site missing",D61="",E61="",F61="",G61="",G61="Needs verification",K61="",S61="",U61="",X61=""),"Missing core fields",IF(AND(OR(K61="Complete",K61="Received partial"),O61=""),"Missing completion date",IF(AND(U61="Verified submitted",OR(V61="",W61="",S61&lt;&gt;"Verified")),"Submission evidence gap",IF(AND(S61="Verified",T61=""),"Source evidence gap","Recorded")))))))</x:f>
      </x:c>
      <x:c r="AB61" s="9" t="str">
        <x:f>IF(A61="","",IF(OR(I61="",J61=""),"Undated",IF(AND(I61&gt;='Dashboard'!$B$6,I61&lt;='Dashboard'!$B$7),"In period","Outside period")))</x:f>
      </x:c>
      <x:c r="AC61" s="9" t="str">
        <x:f>IF(A61="","",IF(AND(OR(K61="Complete",K61="Received partial"),O61&lt;&gt;"",O61&lt;='Dashboard'!$B$4),1,0))</x:f>
      </x:c>
      <x:c r="AD61" s="9" t="str">
        <x:f>IF(A61="","",IF(AND(U61="Verified submitted",V61&lt;&gt;"",V61&lt;='Dashboard'!$B$4,W61&lt;&gt;"",S61="Verified",T61&lt;&gt;""),1,0))</x:f>
      </x:c>
      <x:c r="AE61" s="1"/>
      <x:c r="AF61" s="1"/>
      <x:c r="AG61" s="1"/>
      <x:c r="AH61" s="1"/>
    </x:row>
    <x:row r="62" ht="23" customHeight="1">
      <x:c r="A62" s="8"/>
      <x:c r="B62" s="8"/>
      <x:c r="C62" s="9" t="str">
        <x:f>IF(B62="","",IF(COUNTIFS('Roster'!$A$6:$A$205,B62)&lt;&gt;1,"Check roster",IF(INDEX('Roster'!$B$6:$B$205,MATCH(B62,'Roster'!$A$6:$A$205,0))="","Site missing",INDEX('Roster'!$B$6:$B$205,MATCH(B62,'Roster'!$A$6:$A$205,0)))))</x:f>
      </x:c>
      <x:c r="D62" s="6"/>
      <x:c r="E62" s="7"/>
      <x:c r="F62" s="6"/>
      <x:c r="G62" s="6"/>
      <x:c r="H62" s="6"/>
      <x:c r="I62" s="7"/>
      <x:c r="J62" s="6"/>
      <x:c r="K62" s="6"/>
      <x:c r="L62" s="7"/>
      <x:c r="M62" s="7"/>
      <x:c r="N62" s="7"/>
      <x:c r="O62" s="7"/>
      <x:c r="P62" s="7"/>
      <x:c r="Q62" s="6"/>
      <x:c r="R62" s="7"/>
      <x:c r="S62" s="6"/>
      <x:c r="T62" s="6"/>
      <x:c r="U62" s="6"/>
      <x:c r="V62" s="7"/>
      <x:c r="W62" s="6"/>
      <x:c r="X62" s="7"/>
      <x:c r="Y62" s="9" t="str">
        <x:f>IF(A62="","",IF(OR(K62="Complete",K62="Declined",K62="Closed without data"),"Collection closed",IF(OR(I62="",J62=""),"Date unverified",IF(I62&lt;'Dashboard'!$B$4,"Overdue",IF(I62&lt;='Dashboard'!$B$4+'Dashboard'!$B$5,"Due soon","Later")))))</x:f>
      </x:c>
      <x:c r="Z62" s="9" t="str">
        <x:f>IF(A62="","",IF(H62="","Unassigned",IF(AND(L62&lt;&gt;"",M62=""),"Awaiting acknowledgement",IF(AND(R62&lt;&gt;"",R62&lt;'Dashboard'!$B$4),"Action date passed",IF(AND(OR(K62="Not started",K62="In progress",K62="Awaiting return",K62="Received partial",K62="Unable to reach"),OR(Q62="",R62="")),"Next action missing","No handoff flag")))))</x:f>
      </x:c>
      <x:c r="AA62" s="9" t="str">
        <x:f>IF(A62="","",IF(COUNTIFS($A$6:$A$205,A62)&gt;1,"Duplicate task ID",IF(COUNTIFS($B$6:$B$205,B62,$D$6:$D$205,D62,$E$6:$E$205,E62,$F$6:$F$205,F62)&gt;1,"Duplicate cycle/instrument",IF(OR(B62="",C62="Check roster",C62="Site missing",D62="",E62="",F62="",G62="",G62="Needs verification",K62="",S62="",U62="",X62=""),"Missing core fields",IF(AND(OR(K62="Complete",K62="Received partial"),O62=""),"Missing completion date",IF(AND(U62="Verified submitted",OR(V62="",W62="",S62&lt;&gt;"Verified")),"Submission evidence gap",IF(AND(S62="Verified",T62=""),"Source evidence gap","Recorded")))))))</x:f>
      </x:c>
      <x:c r="AB62" s="9" t="str">
        <x:f>IF(A62="","",IF(OR(I62="",J62=""),"Undated",IF(AND(I62&gt;='Dashboard'!$B$6,I62&lt;='Dashboard'!$B$7),"In period","Outside period")))</x:f>
      </x:c>
      <x:c r="AC62" s="9" t="str">
        <x:f>IF(A62="","",IF(AND(OR(K62="Complete",K62="Received partial"),O62&lt;&gt;"",O62&lt;='Dashboard'!$B$4),1,0))</x:f>
      </x:c>
      <x:c r="AD62" s="9" t="str">
        <x:f>IF(A62="","",IF(AND(U62="Verified submitted",V62&lt;&gt;"",V62&lt;='Dashboard'!$B$4,W62&lt;&gt;"",S62="Verified",T62&lt;&gt;""),1,0))</x:f>
      </x:c>
      <x:c r="AE62" s="1"/>
      <x:c r="AF62" s="1"/>
      <x:c r="AG62" s="1"/>
      <x:c r="AH62" s="1"/>
    </x:row>
    <x:row r="63" ht="23" customHeight="1">
      <x:c r="A63" s="8"/>
      <x:c r="B63" s="8"/>
      <x:c r="C63" s="9" t="str">
        <x:f>IF(B63="","",IF(COUNTIFS('Roster'!$A$6:$A$205,B63)&lt;&gt;1,"Check roster",IF(INDEX('Roster'!$B$6:$B$205,MATCH(B63,'Roster'!$A$6:$A$205,0))="","Site missing",INDEX('Roster'!$B$6:$B$205,MATCH(B63,'Roster'!$A$6:$A$205,0)))))</x:f>
      </x:c>
      <x:c r="D63" s="6"/>
      <x:c r="E63" s="7"/>
      <x:c r="F63" s="6"/>
      <x:c r="G63" s="6"/>
      <x:c r="H63" s="6"/>
      <x:c r="I63" s="7"/>
      <x:c r="J63" s="6"/>
      <x:c r="K63" s="6"/>
      <x:c r="L63" s="7"/>
      <x:c r="M63" s="7"/>
      <x:c r="N63" s="7"/>
      <x:c r="O63" s="7"/>
      <x:c r="P63" s="7"/>
      <x:c r="Q63" s="6"/>
      <x:c r="R63" s="7"/>
      <x:c r="S63" s="6"/>
      <x:c r="T63" s="6"/>
      <x:c r="U63" s="6"/>
      <x:c r="V63" s="7"/>
      <x:c r="W63" s="6"/>
      <x:c r="X63" s="7"/>
      <x:c r="Y63" s="9" t="str">
        <x:f>IF(A63="","",IF(OR(K63="Complete",K63="Declined",K63="Closed without data"),"Collection closed",IF(OR(I63="",J63=""),"Date unverified",IF(I63&lt;'Dashboard'!$B$4,"Overdue",IF(I63&lt;='Dashboard'!$B$4+'Dashboard'!$B$5,"Due soon","Later")))))</x:f>
      </x:c>
      <x:c r="Z63" s="9" t="str">
        <x:f>IF(A63="","",IF(H63="","Unassigned",IF(AND(L63&lt;&gt;"",M63=""),"Awaiting acknowledgement",IF(AND(R63&lt;&gt;"",R63&lt;'Dashboard'!$B$4),"Action date passed",IF(AND(OR(K63="Not started",K63="In progress",K63="Awaiting return",K63="Received partial",K63="Unable to reach"),OR(Q63="",R63="")),"Next action missing","No handoff flag")))))</x:f>
      </x:c>
      <x:c r="AA63" s="9" t="str">
        <x:f>IF(A63="","",IF(COUNTIFS($A$6:$A$205,A63)&gt;1,"Duplicate task ID",IF(COUNTIFS($B$6:$B$205,B63,$D$6:$D$205,D63,$E$6:$E$205,E63,$F$6:$F$205,F63)&gt;1,"Duplicate cycle/instrument",IF(OR(B63="",C63="Check roster",C63="Site missing",D63="",E63="",F63="",G63="",G63="Needs verification",K63="",S63="",U63="",X63=""),"Missing core fields",IF(AND(OR(K63="Complete",K63="Received partial"),O63=""),"Missing completion date",IF(AND(U63="Verified submitted",OR(V63="",W63="",S63&lt;&gt;"Verified")),"Submission evidence gap",IF(AND(S63="Verified",T63=""),"Source evidence gap","Recorded")))))))</x:f>
      </x:c>
      <x:c r="AB63" s="9" t="str">
        <x:f>IF(A63="","",IF(OR(I63="",J63=""),"Undated",IF(AND(I63&gt;='Dashboard'!$B$6,I63&lt;='Dashboard'!$B$7),"In period","Outside period")))</x:f>
      </x:c>
      <x:c r="AC63" s="9" t="str">
        <x:f>IF(A63="","",IF(AND(OR(K63="Complete",K63="Received partial"),O63&lt;&gt;"",O63&lt;='Dashboard'!$B$4),1,0))</x:f>
      </x:c>
      <x:c r="AD63" s="9" t="str">
        <x:f>IF(A63="","",IF(AND(U63="Verified submitted",V63&lt;&gt;"",V63&lt;='Dashboard'!$B$4,W63&lt;&gt;"",S63="Verified",T63&lt;&gt;""),1,0))</x:f>
      </x:c>
      <x:c r="AE63" s="1"/>
      <x:c r="AF63" s="1"/>
      <x:c r="AG63" s="1"/>
      <x:c r="AH63" s="1"/>
    </x:row>
    <x:row r="64" ht="23" customHeight="1">
      <x:c r="A64" s="8"/>
      <x:c r="B64" s="8"/>
      <x:c r="C64" s="9" t="str">
        <x:f>IF(B64="","",IF(COUNTIFS('Roster'!$A$6:$A$205,B64)&lt;&gt;1,"Check roster",IF(INDEX('Roster'!$B$6:$B$205,MATCH(B64,'Roster'!$A$6:$A$205,0))="","Site missing",INDEX('Roster'!$B$6:$B$205,MATCH(B64,'Roster'!$A$6:$A$205,0)))))</x:f>
      </x:c>
      <x:c r="D64" s="6"/>
      <x:c r="E64" s="7"/>
      <x:c r="F64" s="6"/>
      <x:c r="G64" s="6"/>
      <x:c r="H64" s="6"/>
      <x:c r="I64" s="7"/>
      <x:c r="J64" s="6"/>
      <x:c r="K64" s="6"/>
      <x:c r="L64" s="7"/>
      <x:c r="M64" s="7"/>
      <x:c r="N64" s="7"/>
      <x:c r="O64" s="7"/>
      <x:c r="P64" s="7"/>
      <x:c r="Q64" s="6"/>
      <x:c r="R64" s="7"/>
      <x:c r="S64" s="6"/>
      <x:c r="T64" s="6"/>
      <x:c r="U64" s="6"/>
      <x:c r="V64" s="7"/>
      <x:c r="W64" s="6"/>
      <x:c r="X64" s="7"/>
      <x:c r="Y64" s="9" t="str">
        <x:f>IF(A64="","",IF(OR(K64="Complete",K64="Declined",K64="Closed without data"),"Collection closed",IF(OR(I64="",J64=""),"Date unverified",IF(I64&lt;'Dashboard'!$B$4,"Overdue",IF(I64&lt;='Dashboard'!$B$4+'Dashboard'!$B$5,"Due soon","Later")))))</x:f>
      </x:c>
      <x:c r="Z64" s="9" t="str">
        <x:f>IF(A64="","",IF(H64="","Unassigned",IF(AND(L64&lt;&gt;"",M64=""),"Awaiting acknowledgement",IF(AND(R64&lt;&gt;"",R64&lt;'Dashboard'!$B$4),"Action date passed",IF(AND(OR(K64="Not started",K64="In progress",K64="Awaiting return",K64="Received partial",K64="Unable to reach"),OR(Q64="",R64="")),"Next action missing","No handoff flag")))))</x:f>
      </x:c>
      <x:c r="AA64" s="9" t="str">
        <x:f>IF(A64="","",IF(COUNTIFS($A$6:$A$205,A64)&gt;1,"Duplicate task ID",IF(COUNTIFS($B$6:$B$205,B64,$D$6:$D$205,D64,$E$6:$E$205,E64,$F$6:$F$205,F64)&gt;1,"Duplicate cycle/instrument",IF(OR(B64="",C64="Check roster",C64="Site missing",D64="",E64="",F64="",G64="",G64="Needs verification",K64="",S64="",U64="",X64=""),"Missing core fields",IF(AND(OR(K64="Complete",K64="Received partial"),O64=""),"Missing completion date",IF(AND(U64="Verified submitted",OR(V64="",W64="",S64&lt;&gt;"Verified")),"Submission evidence gap",IF(AND(S64="Verified",T64=""),"Source evidence gap","Recorded")))))))</x:f>
      </x:c>
      <x:c r="AB64" s="9" t="str">
        <x:f>IF(A64="","",IF(OR(I64="",J64=""),"Undated",IF(AND(I64&gt;='Dashboard'!$B$6,I64&lt;='Dashboard'!$B$7),"In period","Outside period")))</x:f>
      </x:c>
      <x:c r="AC64" s="9" t="str">
        <x:f>IF(A64="","",IF(AND(OR(K64="Complete",K64="Received partial"),O64&lt;&gt;"",O64&lt;='Dashboard'!$B$4),1,0))</x:f>
      </x:c>
      <x:c r="AD64" s="9" t="str">
        <x:f>IF(A64="","",IF(AND(U64="Verified submitted",V64&lt;&gt;"",V64&lt;='Dashboard'!$B$4,W64&lt;&gt;"",S64="Verified",T64&lt;&gt;""),1,0))</x:f>
      </x:c>
      <x:c r="AE64" s="1"/>
      <x:c r="AF64" s="1"/>
      <x:c r="AG64" s="1"/>
      <x:c r="AH64" s="1"/>
    </x:row>
    <x:row r="65" ht="23" customHeight="1">
      <x:c r="A65" s="8"/>
      <x:c r="B65" s="8"/>
      <x:c r="C65" s="9" t="str">
        <x:f>IF(B65="","",IF(COUNTIFS('Roster'!$A$6:$A$205,B65)&lt;&gt;1,"Check roster",IF(INDEX('Roster'!$B$6:$B$205,MATCH(B65,'Roster'!$A$6:$A$205,0))="","Site missing",INDEX('Roster'!$B$6:$B$205,MATCH(B65,'Roster'!$A$6:$A$205,0)))))</x:f>
      </x:c>
      <x:c r="D65" s="6"/>
      <x:c r="E65" s="7"/>
      <x:c r="F65" s="6"/>
      <x:c r="G65" s="6"/>
      <x:c r="H65" s="6"/>
      <x:c r="I65" s="7"/>
      <x:c r="J65" s="6"/>
      <x:c r="K65" s="6"/>
      <x:c r="L65" s="7"/>
      <x:c r="M65" s="7"/>
      <x:c r="N65" s="7"/>
      <x:c r="O65" s="7"/>
      <x:c r="P65" s="7"/>
      <x:c r="Q65" s="6"/>
      <x:c r="R65" s="7"/>
      <x:c r="S65" s="6"/>
      <x:c r="T65" s="6"/>
      <x:c r="U65" s="6"/>
      <x:c r="V65" s="7"/>
      <x:c r="W65" s="6"/>
      <x:c r="X65" s="7"/>
      <x:c r="Y65" s="9" t="str">
        <x:f>IF(A65="","",IF(OR(K65="Complete",K65="Declined",K65="Closed without data"),"Collection closed",IF(OR(I65="",J65=""),"Date unverified",IF(I65&lt;'Dashboard'!$B$4,"Overdue",IF(I65&lt;='Dashboard'!$B$4+'Dashboard'!$B$5,"Due soon","Later")))))</x:f>
      </x:c>
      <x:c r="Z65" s="9" t="str">
        <x:f>IF(A65="","",IF(H65="","Unassigned",IF(AND(L65&lt;&gt;"",M65=""),"Awaiting acknowledgement",IF(AND(R65&lt;&gt;"",R65&lt;'Dashboard'!$B$4),"Action date passed",IF(AND(OR(K65="Not started",K65="In progress",K65="Awaiting return",K65="Received partial",K65="Unable to reach"),OR(Q65="",R65="")),"Next action missing","No handoff flag")))))</x:f>
      </x:c>
      <x:c r="AA65" s="9" t="str">
        <x:f>IF(A65="","",IF(COUNTIFS($A$6:$A$205,A65)&gt;1,"Duplicate task ID",IF(COUNTIFS($B$6:$B$205,B65,$D$6:$D$205,D65,$E$6:$E$205,E65,$F$6:$F$205,F65)&gt;1,"Duplicate cycle/instrument",IF(OR(B65="",C65="Check roster",C65="Site missing",D65="",E65="",F65="",G65="",G65="Needs verification",K65="",S65="",U65="",X65=""),"Missing core fields",IF(AND(OR(K65="Complete",K65="Received partial"),O65=""),"Missing completion date",IF(AND(U65="Verified submitted",OR(V65="",W65="",S65&lt;&gt;"Verified")),"Submission evidence gap",IF(AND(S65="Verified",T65=""),"Source evidence gap","Recorded")))))))</x:f>
      </x:c>
      <x:c r="AB65" s="9" t="str">
        <x:f>IF(A65="","",IF(OR(I65="",J65=""),"Undated",IF(AND(I65&gt;='Dashboard'!$B$6,I65&lt;='Dashboard'!$B$7),"In period","Outside period")))</x:f>
      </x:c>
      <x:c r="AC65" s="9" t="str">
        <x:f>IF(A65="","",IF(AND(OR(K65="Complete",K65="Received partial"),O65&lt;&gt;"",O65&lt;='Dashboard'!$B$4),1,0))</x:f>
      </x:c>
      <x:c r="AD65" s="9" t="str">
        <x:f>IF(A65="","",IF(AND(U65="Verified submitted",V65&lt;&gt;"",V65&lt;='Dashboard'!$B$4,W65&lt;&gt;"",S65="Verified",T65&lt;&gt;""),1,0))</x:f>
      </x:c>
      <x:c r="AE65" s="1"/>
      <x:c r="AF65" s="1"/>
      <x:c r="AG65" s="1"/>
      <x:c r="AH65" s="1"/>
    </x:row>
    <x:row r="66" ht="23" customHeight="1">
      <x:c r="A66" s="8"/>
      <x:c r="B66" s="8"/>
      <x:c r="C66" s="9" t="str">
        <x:f>IF(B66="","",IF(COUNTIFS('Roster'!$A$6:$A$205,B66)&lt;&gt;1,"Check roster",IF(INDEX('Roster'!$B$6:$B$205,MATCH(B66,'Roster'!$A$6:$A$205,0))="","Site missing",INDEX('Roster'!$B$6:$B$205,MATCH(B66,'Roster'!$A$6:$A$205,0)))))</x:f>
      </x:c>
      <x:c r="D66" s="6"/>
      <x:c r="E66" s="7"/>
      <x:c r="F66" s="6"/>
      <x:c r="G66" s="6"/>
      <x:c r="H66" s="6"/>
      <x:c r="I66" s="7"/>
      <x:c r="J66" s="6"/>
      <x:c r="K66" s="6"/>
      <x:c r="L66" s="7"/>
      <x:c r="M66" s="7"/>
      <x:c r="N66" s="7"/>
      <x:c r="O66" s="7"/>
      <x:c r="P66" s="7"/>
      <x:c r="Q66" s="6"/>
      <x:c r="R66" s="7"/>
      <x:c r="S66" s="6"/>
      <x:c r="T66" s="6"/>
      <x:c r="U66" s="6"/>
      <x:c r="V66" s="7"/>
      <x:c r="W66" s="6"/>
      <x:c r="X66" s="7"/>
      <x:c r="Y66" s="9" t="str">
        <x:f>IF(A66="","",IF(OR(K66="Complete",K66="Declined",K66="Closed without data"),"Collection closed",IF(OR(I66="",J66=""),"Date unverified",IF(I66&lt;'Dashboard'!$B$4,"Overdue",IF(I66&lt;='Dashboard'!$B$4+'Dashboard'!$B$5,"Due soon","Later")))))</x:f>
      </x:c>
      <x:c r="Z66" s="9" t="str">
        <x:f>IF(A66="","",IF(H66="","Unassigned",IF(AND(L66&lt;&gt;"",M66=""),"Awaiting acknowledgement",IF(AND(R66&lt;&gt;"",R66&lt;'Dashboard'!$B$4),"Action date passed",IF(AND(OR(K66="Not started",K66="In progress",K66="Awaiting return",K66="Received partial",K66="Unable to reach"),OR(Q66="",R66="")),"Next action missing","No handoff flag")))))</x:f>
      </x:c>
      <x:c r="AA66" s="9" t="str">
        <x:f>IF(A66="","",IF(COUNTIFS($A$6:$A$205,A66)&gt;1,"Duplicate task ID",IF(COUNTIFS($B$6:$B$205,B66,$D$6:$D$205,D66,$E$6:$E$205,E66,$F$6:$F$205,F66)&gt;1,"Duplicate cycle/instrument",IF(OR(B66="",C66="Check roster",C66="Site missing",D66="",E66="",F66="",G66="",G66="Needs verification",K66="",S66="",U66="",X66=""),"Missing core fields",IF(AND(OR(K66="Complete",K66="Received partial"),O66=""),"Missing completion date",IF(AND(U66="Verified submitted",OR(V66="",W66="",S66&lt;&gt;"Verified")),"Submission evidence gap",IF(AND(S66="Verified",T66=""),"Source evidence gap","Recorded")))))))</x:f>
      </x:c>
      <x:c r="AB66" s="9" t="str">
        <x:f>IF(A66="","",IF(OR(I66="",J66=""),"Undated",IF(AND(I66&gt;='Dashboard'!$B$6,I66&lt;='Dashboard'!$B$7),"In period","Outside period")))</x:f>
      </x:c>
      <x:c r="AC66" s="9" t="str">
        <x:f>IF(A66="","",IF(AND(OR(K66="Complete",K66="Received partial"),O66&lt;&gt;"",O66&lt;='Dashboard'!$B$4),1,0))</x:f>
      </x:c>
      <x:c r="AD66" s="9" t="str">
        <x:f>IF(A66="","",IF(AND(U66="Verified submitted",V66&lt;&gt;"",V66&lt;='Dashboard'!$B$4,W66&lt;&gt;"",S66="Verified",T66&lt;&gt;""),1,0))</x:f>
      </x:c>
      <x:c r="AE66" s="1"/>
      <x:c r="AF66" s="1"/>
      <x:c r="AG66" s="1"/>
      <x:c r="AH66" s="1"/>
    </x:row>
    <x:row r="67" ht="23" customHeight="1">
      <x:c r="A67" s="8"/>
      <x:c r="B67" s="8"/>
      <x:c r="C67" s="9" t="str">
        <x:f>IF(B67="","",IF(COUNTIFS('Roster'!$A$6:$A$205,B67)&lt;&gt;1,"Check roster",IF(INDEX('Roster'!$B$6:$B$205,MATCH(B67,'Roster'!$A$6:$A$205,0))="","Site missing",INDEX('Roster'!$B$6:$B$205,MATCH(B67,'Roster'!$A$6:$A$205,0)))))</x:f>
      </x:c>
      <x:c r="D67" s="6"/>
      <x:c r="E67" s="7"/>
      <x:c r="F67" s="6"/>
      <x:c r="G67" s="6"/>
      <x:c r="H67" s="6"/>
      <x:c r="I67" s="7"/>
      <x:c r="J67" s="6"/>
      <x:c r="K67" s="6"/>
      <x:c r="L67" s="7"/>
      <x:c r="M67" s="7"/>
      <x:c r="N67" s="7"/>
      <x:c r="O67" s="7"/>
      <x:c r="P67" s="7"/>
      <x:c r="Q67" s="6"/>
      <x:c r="R67" s="7"/>
      <x:c r="S67" s="6"/>
      <x:c r="T67" s="6"/>
      <x:c r="U67" s="6"/>
      <x:c r="V67" s="7"/>
      <x:c r="W67" s="6"/>
      <x:c r="X67" s="7"/>
      <x:c r="Y67" s="9" t="str">
        <x:f>IF(A67="","",IF(OR(K67="Complete",K67="Declined",K67="Closed without data"),"Collection closed",IF(OR(I67="",J67=""),"Date unverified",IF(I67&lt;'Dashboard'!$B$4,"Overdue",IF(I67&lt;='Dashboard'!$B$4+'Dashboard'!$B$5,"Due soon","Later")))))</x:f>
      </x:c>
      <x:c r="Z67" s="9" t="str">
        <x:f>IF(A67="","",IF(H67="","Unassigned",IF(AND(L67&lt;&gt;"",M67=""),"Awaiting acknowledgement",IF(AND(R67&lt;&gt;"",R67&lt;'Dashboard'!$B$4),"Action date passed",IF(AND(OR(K67="Not started",K67="In progress",K67="Awaiting return",K67="Received partial",K67="Unable to reach"),OR(Q67="",R67="")),"Next action missing","No handoff flag")))))</x:f>
      </x:c>
      <x:c r="AA67" s="9" t="str">
        <x:f>IF(A67="","",IF(COUNTIFS($A$6:$A$205,A67)&gt;1,"Duplicate task ID",IF(COUNTIFS($B$6:$B$205,B67,$D$6:$D$205,D67,$E$6:$E$205,E67,$F$6:$F$205,F67)&gt;1,"Duplicate cycle/instrument",IF(OR(B67="",C67="Check roster",C67="Site missing",D67="",E67="",F67="",G67="",G67="Needs verification",K67="",S67="",U67="",X67=""),"Missing core fields",IF(AND(OR(K67="Complete",K67="Received partial"),O67=""),"Missing completion date",IF(AND(U67="Verified submitted",OR(V67="",W67="",S67&lt;&gt;"Verified")),"Submission evidence gap",IF(AND(S67="Verified",T67=""),"Source evidence gap","Recorded")))))))</x:f>
      </x:c>
      <x:c r="AB67" s="9" t="str">
        <x:f>IF(A67="","",IF(OR(I67="",J67=""),"Undated",IF(AND(I67&gt;='Dashboard'!$B$6,I67&lt;='Dashboard'!$B$7),"In period","Outside period")))</x:f>
      </x:c>
      <x:c r="AC67" s="9" t="str">
        <x:f>IF(A67="","",IF(AND(OR(K67="Complete",K67="Received partial"),O67&lt;&gt;"",O67&lt;='Dashboard'!$B$4),1,0))</x:f>
      </x:c>
      <x:c r="AD67" s="9" t="str">
        <x:f>IF(A67="","",IF(AND(U67="Verified submitted",V67&lt;&gt;"",V67&lt;='Dashboard'!$B$4,W67&lt;&gt;"",S67="Verified",T67&lt;&gt;""),1,0))</x:f>
      </x:c>
      <x:c r="AE67" s="1"/>
      <x:c r="AF67" s="1"/>
      <x:c r="AG67" s="1"/>
      <x:c r="AH67" s="1"/>
    </x:row>
    <x:row r="68" ht="23" customHeight="1">
      <x:c r="A68" s="8"/>
      <x:c r="B68" s="8"/>
      <x:c r="C68" s="9" t="str">
        <x:f>IF(B68="","",IF(COUNTIFS('Roster'!$A$6:$A$205,B68)&lt;&gt;1,"Check roster",IF(INDEX('Roster'!$B$6:$B$205,MATCH(B68,'Roster'!$A$6:$A$205,0))="","Site missing",INDEX('Roster'!$B$6:$B$205,MATCH(B68,'Roster'!$A$6:$A$205,0)))))</x:f>
      </x:c>
      <x:c r="D68" s="6"/>
      <x:c r="E68" s="7"/>
      <x:c r="F68" s="6"/>
      <x:c r="G68" s="6"/>
      <x:c r="H68" s="6"/>
      <x:c r="I68" s="7"/>
      <x:c r="J68" s="6"/>
      <x:c r="K68" s="6"/>
      <x:c r="L68" s="7"/>
      <x:c r="M68" s="7"/>
      <x:c r="N68" s="7"/>
      <x:c r="O68" s="7"/>
      <x:c r="P68" s="7"/>
      <x:c r="Q68" s="6"/>
      <x:c r="R68" s="7"/>
      <x:c r="S68" s="6"/>
      <x:c r="T68" s="6"/>
      <x:c r="U68" s="6"/>
      <x:c r="V68" s="7"/>
      <x:c r="W68" s="6"/>
      <x:c r="X68" s="7"/>
      <x:c r="Y68" s="9" t="str">
        <x:f>IF(A68="","",IF(OR(K68="Complete",K68="Declined",K68="Closed without data"),"Collection closed",IF(OR(I68="",J68=""),"Date unverified",IF(I68&lt;'Dashboard'!$B$4,"Overdue",IF(I68&lt;='Dashboard'!$B$4+'Dashboard'!$B$5,"Due soon","Later")))))</x:f>
      </x:c>
      <x:c r="Z68" s="9" t="str">
        <x:f>IF(A68="","",IF(H68="","Unassigned",IF(AND(L68&lt;&gt;"",M68=""),"Awaiting acknowledgement",IF(AND(R68&lt;&gt;"",R68&lt;'Dashboard'!$B$4),"Action date passed",IF(AND(OR(K68="Not started",K68="In progress",K68="Awaiting return",K68="Received partial",K68="Unable to reach"),OR(Q68="",R68="")),"Next action missing","No handoff flag")))))</x:f>
      </x:c>
      <x:c r="AA68" s="9" t="str">
        <x:f>IF(A68="","",IF(COUNTIFS($A$6:$A$205,A68)&gt;1,"Duplicate task ID",IF(COUNTIFS($B$6:$B$205,B68,$D$6:$D$205,D68,$E$6:$E$205,E68,$F$6:$F$205,F68)&gt;1,"Duplicate cycle/instrument",IF(OR(B68="",C68="Check roster",C68="Site missing",D68="",E68="",F68="",G68="",G68="Needs verification",K68="",S68="",U68="",X68=""),"Missing core fields",IF(AND(OR(K68="Complete",K68="Received partial"),O68=""),"Missing completion date",IF(AND(U68="Verified submitted",OR(V68="",W68="",S68&lt;&gt;"Verified")),"Submission evidence gap",IF(AND(S68="Verified",T68=""),"Source evidence gap","Recorded")))))))</x:f>
      </x:c>
      <x:c r="AB68" s="9" t="str">
        <x:f>IF(A68="","",IF(OR(I68="",J68=""),"Undated",IF(AND(I68&gt;='Dashboard'!$B$6,I68&lt;='Dashboard'!$B$7),"In period","Outside period")))</x:f>
      </x:c>
      <x:c r="AC68" s="9" t="str">
        <x:f>IF(A68="","",IF(AND(OR(K68="Complete",K68="Received partial"),O68&lt;&gt;"",O68&lt;='Dashboard'!$B$4),1,0))</x:f>
      </x:c>
      <x:c r="AD68" s="9" t="str">
        <x:f>IF(A68="","",IF(AND(U68="Verified submitted",V68&lt;&gt;"",V68&lt;='Dashboard'!$B$4,W68&lt;&gt;"",S68="Verified",T68&lt;&gt;""),1,0))</x:f>
      </x:c>
      <x:c r="AE68" s="1"/>
      <x:c r="AF68" s="1"/>
      <x:c r="AG68" s="1"/>
      <x:c r="AH68" s="1"/>
    </x:row>
    <x:row r="69" ht="23" customHeight="1">
      <x:c r="A69" s="8"/>
      <x:c r="B69" s="8"/>
      <x:c r="C69" s="9" t="str">
        <x:f>IF(B69="","",IF(COUNTIFS('Roster'!$A$6:$A$205,B69)&lt;&gt;1,"Check roster",IF(INDEX('Roster'!$B$6:$B$205,MATCH(B69,'Roster'!$A$6:$A$205,0))="","Site missing",INDEX('Roster'!$B$6:$B$205,MATCH(B69,'Roster'!$A$6:$A$205,0)))))</x:f>
      </x:c>
      <x:c r="D69" s="6"/>
      <x:c r="E69" s="7"/>
      <x:c r="F69" s="6"/>
      <x:c r="G69" s="6"/>
      <x:c r="H69" s="6"/>
      <x:c r="I69" s="7"/>
      <x:c r="J69" s="6"/>
      <x:c r="K69" s="6"/>
      <x:c r="L69" s="7"/>
      <x:c r="M69" s="7"/>
      <x:c r="N69" s="7"/>
      <x:c r="O69" s="7"/>
      <x:c r="P69" s="7"/>
      <x:c r="Q69" s="6"/>
      <x:c r="R69" s="7"/>
      <x:c r="S69" s="6"/>
      <x:c r="T69" s="6"/>
      <x:c r="U69" s="6"/>
      <x:c r="V69" s="7"/>
      <x:c r="W69" s="6"/>
      <x:c r="X69" s="7"/>
      <x:c r="Y69" s="9" t="str">
        <x:f>IF(A69="","",IF(OR(K69="Complete",K69="Declined",K69="Closed without data"),"Collection closed",IF(OR(I69="",J69=""),"Date unverified",IF(I69&lt;'Dashboard'!$B$4,"Overdue",IF(I69&lt;='Dashboard'!$B$4+'Dashboard'!$B$5,"Due soon","Later")))))</x:f>
      </x:c>
      <x:c r="Z69" s="9" t="str">
        <x:f>IF(A69="","",IF(H69="","Unassigned",IF(AND(L69&lt;&gt;"",M69=""),"Awaiting acknowledgement",IF(AND(R69&lt;&gt;"",R69&lt;'Dashboard'!$B$4),"Action date passed",IF(AND(OR(K69="Not started",K69="In progress",K69="Awaiting return",K69="Received partial",K69="Unable to reach"),OR(Q69="",R69="")),"Next action missing","No handoff flag")))))</x:f>
      </x:c>
      <x:c r="AA69" s="9" t="str">
        <x:f>IF(A69="","",IF(COUNTIFS($A$6:$A$205,A69)&gt;1,"Duplicate task ID",IF(COUNTIFS($B$6:$B$205,B69,$D$6:$D$205,D69,$E$6:$E$205,E69,$F$6:$F$205,F69)&gt;1,"Duplicate cycle/instrument",IF(OR(B69="",C69="Check roster",C69="Site missing",D69="",E69="",F69="",G69="",G69="Needs verification",K69="",S69="",U69="",X69=""),"Missing core fields",IF(AND(OR(K69="Complete",K69="Received partial"),O69=""),"Missing completion date",IF(AND(U69="Verified submitted",OR(V69="",W69="",S69&lt;&gt;"Verified")),"Submission evidence gap",IF(AND(S69="Verified",T69=""),"Source evidence gap","Recorded")))))))</x:f>
      </x:c>
      <x:c r="AB69" s="9" t="str">
        <x:f>IF(A69="","",IF(OR(I69="",J69=""),"Undated",IF(AND(I69&gt;='Dashboard'!$B$6,I69&lt;='Dashboard'!$B$7),"In period","Outside period")))</x:f>
      </x:c>
      <x:c r="AC69" s="9" t="str">
        <x:f>IF(A69="","",IF(AND(OR(K69="Complete",K69="Received partial"),O69&lt;&gt;"",O69&lt;='Dashboard'!$B$4),1,0))</x:f>
      </x:c>
      <x:c r="AD69" s="9" t="str">
        <x:f>IF(A69="","",IF(AND(U69="Verified submitted",V69&lt;&gt;"",V69&lt;='Dashboard'!$B$4,W69&lt;&gt;"",S69="Verified",T69&lt;&gt;""),1,0))</x:f>
      </x:c>
      <x:c r="AE69" s="1"/>
      <x:c r="AF69" s="1"/>
      <x:c r="AG69" s="1"/>
      <x:c r="AH69" s="1"/>
    </x:row>
    <x:row r="70" ht="23" customHeight="1">
      <x:c r="A70" s="8"/>
      <x:c r="B70" s="8"/>
      <x:c r="C70" s="9" t="str">
        <x:f>IF(B70="","",IF(COUNTIFS('Roster'!$A$6:$A$205,B70)&lt;&gt;1,"Check roster",IF(INDEX('Roster'!$B$6:$B$205,MATCH(B70,'Roster'!$A$6:$A$205,0))="","Site missing",INDEX('Roster'!$B$6:$B$205,MATCH(B70,'Roster'!$A$6:$A$205,0)))))</x:f>
      </x:c>
      <x:c r="D70" s="6"/>
      <x:c r="E70" s="7"/>
      <x:c r="F70" s="6"/>
      <x:c r="G70" s="6"/>
      <x:c r="H70" s="6"/>
      <x:c r="I70" s="7"/>
      <x:c r="J70" s="6"/>
      <x:c r="K70" s="6"/>
      <x:c r="L70" s="7"/>
      <x:c r="M70" s="7"/>
      <x:c r="N70" s="7"/>
      <x:c r="O70" s="7"/>
      <x:c r="P70" s="7"/>
      <x:c r="Q70" s="6"/>
      <x:c r="R70" s="7"/>
      <x:c r="S70" s="6"/>
      <x:c r="T70" s="6"/>
      <x:c r="U70" s="6"/>
      <x:c r="V70" s="7"/>
      <x:c r="W70" s="6"/>
      <x:c r="X70" s="7"/>
      <x:c r="Y70" s="9" t="str">
        <x:f>IF(A70="","",IF(OR(K70="Complete",K70="Declined",K70="Closed without data"),"Collection closed",IF(OR(I70="",J70=""),"Date unverified",IF(I70&lt;'Dashboard'!$B$4,"Overdue",IF(I70&lt;='Dashboard'!$B$4+'Dashboard'!$B$5,"Due soon","Later")))))</x:f>
      </x:c>
      <x:c r="Z70" s="9" t="str">
        <x:f>IF(A70="","",IF(H70="","Unassigned",IF(AND(L70&lt;&gt;"",M70=""),"Awaiting acknowledgement",IF(AND(R70&lt;&gt;"",R70&lt;'Dashboard'!$B$4),"Action date passed",IF(AND(OR(K70="Not started",K70="In progress",K70="Awaiting return",K70="Received partial",K70="Unable to reach"),OR(Q70="",R70="")),"Next action missing","No handoff flag")))))</x:f>
      </x:c>
      <x:c r="AA70" s="9" t="str">
        <x:f>IF(A70="","",IF(COUNTIFS($A$6:$A$205,A70)&gt;1,"Duplicate task ID",IF(COUNTIFS($B$6:$B$205,B70,$D$6:$D$205,D70,$E$6:$E$205,E70,$F$6:$F$205,F70)&gt;1,"Duplicate cycle/instrument",IF(OR(B70="",C70="Check roster",C70="Site missing",D70="",E70="",F70="",G70="",G70="Needs verification",K70="",S70="",U70="",X70=""),"Missing core fields",IF(AND(OR(K70="Complete",K70="Received partial"),O70=""),"Missing completion date",IF(AND(U70="Verified submitted",OR(V70="",W70="",S70&lt;&gt;"Verified")),"Submission evidence gap",IF(AND(S70="Verified",T70=""),"Source evidence gap","Recorded")))))))</x:f>
      </x:c>
      <x:c r="AB70" s="9" t="str">
        <x:f>IF(A70="","",IF(OR(I70="",J70=""),"Undated",IF(AND(I70&gt;='Dashboard'!$B$6,I70&lt;='Dashboard'!$B$7),"In period","Outside period")))</x:f>
      </x:c>
      <x:c r="AC70" s="9" t="str">
        <x:f>IF(A70="","",IF(AND(OR(K70="Complete",K70="Received partial"),O70&lt;&gt;"",O70&lt;='Dashboard'!$B$4),1,0))</x:f>
      </x:c>
      <x:c r="AD70" s="9" t="str">
        <x:f>IF(A70="","",IF(AND(U70="Verified submitted",V70&lt;&gt;"",V70&lt;='Dashboard'!$B$4,W70&lt;&gt;"",S70="Verified",T70&lt;&gt;""),1,0))</x:f>
      </x:c>
      <x:c r="AE70" s="1"/>
      <x:c r="AF70" s="1"/>
      <x:c r="AG70" s="1"/>
      <x:c r="AH70" s="1"/>
    </x:row>
    <x:row r="71" ht="23" customHeight="1">
      <x:c r="A71" s="8"/>
      <x:c r="B71" s="8"/>
      <x:c r="C71" s="9" t="str">
        <x:f>IF(B71="","",IF(COUNTIFS('Roster'!$A$6:$A$205,B71)&lt;&gt;1,"Check roster",IF(INDEX('Roster'!$B$6:$B$205,MATCH(B71,'Roster'!$A$6:$A$205,0))="","Site missing",INDEX('Roster'!$B$6:$B$205,MATCH(B71,'Roster'!$A$6:$A$205,0)))))</x:f>
      </x:c>
      <x:c r="D71" s="6"/>
      <x:c r="E71" s="7"/>
      <x:c r="F71" s="6"/>
      <x:c r="G71" s="6"/>
      <x:c r="H71" s="6"/>
      <x:c r="I71" s="7"/>
      <x:c r="J71" s="6"/>
      <x:c r="K71" s="6"/>
      <x:c r="L71" s="7"/>
      <x:c r="M71" s="7"/>
      <x:c r="N71" s="7"/>
      <x:c r="O71" s="7"/>
      <x:c r="P71" s="7"/>
      <x:c r="Q71" s="6"/>
      <x:c r="R71" s="7"/>
      <x:c r="S71" s="6"/>
      <x:c r="T71" s="6"/>
      <x:c r="U71" s="6"/>
      <x:c r="V71" s="7"/>
      <x:c r="W71" s="6"/>
      <x:c r="X71" s="7"/>
      <x:c r="Y71" s="9" t="str">
        <x:f>IF(A71="","",IF(OR(K71="Complete",K71="Declined",K71="Closed without data"),"Collection closed",IF(OR(I71="",J71=""),"Date unverified",IF(I71&lt;'Dashboard'!$B$4,"Overdue",IF(I71&lt;='Dashboard'!$B$4+'Dashboard'!$B$5,"Due soon","Later")))))</x:f>
      </x:c>
      <x:c r="Z71" s="9" t="str">
        <x:f>IF(A71="","",IF(H71="","Unassigned",IF(AND(L71&lt;&gt;"",M71=""),"Awaiting acknowledgement",IF(AND(R71&lt;&gt;"",R71&lt;'Dashboard'!$B$4),"Action date passed",IF(AND(OR(K71="Not started",K71="In progress",K71="Awaiting return",K71="Received partial",K71="Unable to reach"),OR(Q71="",R71="")),"Next action missing","No handoff flag")))))</x:f>
      </x:c>
      <x:c r="AA71" s="9" t="str">
        <x:f>IF(A71="","",IF(COUNTIFS($A$6:$A$205,A71)&gt;1,"Duplicate task ID",IF(COUNTIFS($B$6:$B$205,B71,$D$6:$D$205,D71,$E$6:$E$205,E71,$F$6:$F$205,F71)&gt;1,"Duplicate cycle/instrument",IF(OR(B71="",C71="Check roster",C71="Site missing",D71="",E71="",F71="",G71="",G71="Needs verification",K71="",S71="",U71="",X71=""),"Missing core fields",IF(AND(OR(K71="Complete",K71="Received partial"),O71=""),"Missing completion date",IF(AND(U71="Verified submitted",OR(V71="",W71="",S71&lt;&gt;"Verified")),"Submission evidence gap",IF(AND(S71="Verified",T71=""),"Source evidence gap","Recorded")))))))</x:f>
      </x:c>
      <x:c r="AB71" s="9" t="str">
        <x:f>IF(A71="","",IF(OR(I71="",J71=""),"Undated",IF(AND(I71&gt;='Dashboard'!$B$6,I71&lt;='Dashboard'!$B$7),"In period","Outside period")))</x:f>
      </x:c>
      <x:c r="AC71" s="9" t="str">
        <x:f>IF(A71="","",IF(AND(OR(K71="Complete",K71="Received partial"),O71&lt;&gt;"",O71&lt;='Dashboard'!$B$4),1,0))</x:f>
      </x:c>
      <x:c r="AD71" s="9" t="str">
        <x:f>IF(A71="","",IF(AND(U71="Verified submitted",V71&lt;&gt;"",V71&lt;='Dashboard'!$B$4,W71&lt;&gt;"",S71="Verified",T71&lt;&gt;""),1,0))</x:f>
      </x:c>
      <x:c r="AE71" s="1"/>
      <x:c r="AF71" s="1"/>
      <x:c r="AG71" s="1"/>
      <x:c r="AH71" s="1"/>
    </x:row>
    <x:row r="72" ht="23" customHeight="1">
      <x:c r="A72" s="8"/>
      <x:c r="B72" s="8"/>
      <x:c r="C72" s="9" t="str">
        <x:f>IF(B72="","",IF(COUNTIFS('Roster'!$A$6:$A$205,B72)&lt;&gt;1,"Check roster",IF(INDEX('Roster'!$B$6:$B$205,MATCH(B72,'Roster'!$A$6:$A$205,0))="","Site missing",INDEX('Roster'!$B$6:$B$205,MATCH(B72,'Roster'!$A$6:$A$205,0)))))</x:f>
      </x:c>
      <x:c r="D72" s="6"/>
      <x:c r="E72" s="7"/>
      <x:c r="F72" s="6"/>
      <x:c r="G72" s="6"/>
      <x:c r="H72" s="6"/>
      <x:c r="I72" s="7"/>
      <x:c r="J72" s="6"/>
      <x:c r="K72" s="6"/>
      <x:c r="L72" s="7"/>
      <x:c r="M72" s="7"/>
      <x:c r="N72" s="7"/>
      <x:c r="O72" s="7"/>
      <x:c r="P72" s="7"/>
      <x:c r="Q72" s="6"/>
      <x:c r="R72" s="7"/>
      <x:c r="S72" s="6"/>
      <x:c r="T72" s="6"/>
      <x:c r="U72" s="6"/>
      <x:c r="V72" s="7"/>
      <x:c r="W72" s="6"/>
      <x:c r="X72" s="7"/>
      <x:c r="Y72" s="9" t="str">
        <x:f>IF(A72="","",IF(OR(K72="Complete",K72="Declined",K72="Closed without data"),"Collection closed",IF(OR(I72="",J72=""),"Date unverified",IF(I72&lt;'Dashboard'!$B$4,"Overdue",IF(I72&lt;='Dashboard'!$B$4+'Dashboard'!$B$5,"Due soon","Later")))))</x:f>
      </x:c>
      <x:c r="Z72" s="9" t="str">
        <x:f>IF(A72="","",IF(H72="","Unassigned",IF(AND(L72&lt;&gt;"",M72=""),"Awaiting acknowledgement",IF(AND(R72&lt;&gt;"",R72&lt;'Dashboard'!$B$4),"Action date passed",IF(AND(OR(K72="Not started",K72="In progress",K72="Awaiting return",K72="Received partial",K72="Unable to reach"),OR(Q72="",R72="")),"Next action missing","No handoff flag")))))</x:f>
      </x:c>
      <x:c r="AA72" s="9" t="str">
        <x:f>IF(A72="","",IF(COUNTIFS($A$6:$A$205,A72)&gt;1,"Duplicate task ID",IF(COUNTIFS($B$6:$B$205,B72,$D$6:$D$205,D72,$E$6:$E$205,E72,$F$6:$F$205,F72)&gt;1,"Duplicate cycle/instrument",IF(OR(B72="",C72="Check roster",C72="Site missing",D72="",E72="",F72="",G72="",G72="Needs verification",K72="",S72="",U72="",X72=""),"Missing core fields",IF(AND(OR(K72="Complete",K72="Received partial"),O72=""),"Missing completion date",IF(AND(U72="Verified submitted",OR(V72="",W72="",S72&lt;&gt;"Verified")),"Submission evidence gap",IF(AND(S72="Verified",T72=""),"Source evidence gap","Recorded")))))))</x:f>
      </x:c>
      <x:c r="AB72" s="9" t="str">
        <x:f>IF(A72="","",IF(OR(I72="",J72=""),"Undated",IF(AND(I72&gt;='Dashboard'!$B$6,I72&lt;='Dashboard'!$B$7),"In period","Outside period")))</x:f>
      </x:c>
      <x:c r="AC72" s="9" t="str">
        <x:f>IF(A72="","",IF(AND(OR(K72="Complete",K72="Received partial"),O72&lt;&gt;"",O72&lt;='Dashboard'!$B$4),1,0))</x:f>
      </x:c>
      <x:c r="AD72" s="9" t="str">
        <x:f>IF(A72="","",IF(AND(U72="Verified submitted",V72&lt;&gt;"",V72&lt;='Dashboard'!$B$4,W72&lt;&gt;"",S72="Verified",T72&lt;&gt;""),1,0))</x:f>
      </x:c>
      <x:c r="AE72" s="1"/>
      <x:c r="AF72" s="1"/>
      <x:c r="AG72" s="1"/>
      <x:c r="AH72" s="1"/>
    </x:row>
    <x:row r="73" ht="23" customHeight="1">
      <x:c r="A73" s="8"/>
      <x:c r="B73" s="8"/>
      <x:c r="C73" s="9" t="str">
        <x:f>IF(B73="","",IF(COUNTIFS('Roster'!$A$6:$A$205,B73)&lt;&gt;1,"Check roster",IF(INDEX('Roster'!$B$6:$B$205,MATCH(B73,'Roster'!$A$6:$A$205,0))="","Site missing",INDEX('Roster'!$B$6:$B$205,MATCH(B73,'Roster'!$A$6:$A$205,0)))))</x:f>
      </x:c>
      <x:c r="D73" s="6"/>
      <x:c r="E73" s="7"/>
      <x:c r="F73" s="6"/>
      <x:c r="G73" s="6"/>
      <x:c r="H73" s="6"/>
      <x:c r="I73" s="7"/>
      <x:c r="J73" s="6"/>
      <x:c r="K73" s="6"/>
      <x:c r="L73" s="7"/>
      <x:c r="M73" s="7"/>
      <x:c r="N73" s="7"/>
      <x:c r="O73" s="7"/>
      <x:c r="P73" s="7"/>
      <x:c r="Q73" s="6"/>
      <x:c r="R73" s="7"/>
      <x:c r="S73" s="6"/>
      <x:c r="T73" s="6"/>
      <x:c r="U73" s="6"/>
      <x:c r="V73" s="7"/>
      <x:c r="W73" s="6"/>
      <x:c r="X73" s="7"/>
      <x:c r="Y73" s="9" t="str">
        <x:f>IF(A73="","",IF(OR(K73="Complete",K73="Declined",K73="Closed without data"),"Collection closed",IF(OR(I73="",J73=""),"Date unverified",IF(I73&lt;'Dashboard'!$B$4,"Overdue",IF(I73&lt;='Dashboard'!$B$4+'Dashboard'!$B$5,"Due soon","Later")))))</x:f>
      </x:c>
      <x:c r="Z73" s="9" t="str">
        <x:f>IF(A73="","",IF(H73="","Unassigned",IF(AND(L73&lt;&gt;"",M73=""),"Awaiting acknowledgement",IF(AND(R73&lt;&gt;"",R73&lt;'Dashboard'!$B$4),"Action date passed",IF(AND(OR(K73="Not started",K73="In progress",K73="Awaiting return",K73="Received partial",K73="Unable to reach"),OR(Q73="",R73="")),"Next action missing","No handoff flag")))))</x:f>
      </x:c>
      <x:c r="AA73" s="9" t="str">
        <x:f>IF(A73="","",IF(COUNTIFS($A$6:$A$205,A73)&gt;1,"Duplicate task ID",IF(COUNTIFS($B$6:$B$205,B73,$D$6:$D$205,D73,$E$6:$E$205,E73,$F$6:$F$205,F73)&gt;1,"Duplicate cycle/instrument",IF(OR(B73="",C73="Check roster",C73="Site missing",D73="",E73="",F73="",G73="",G73="Needs verification",K73="",S73="",U73="",X73=""),"Missing core fields",IF(AND(OR(K73="Complete",K73="Received partial"),O73=""),"Missing completion date",IF(AND(U73="Verified submitted",OR(V73="",W73="",S73&lt;&gt;"Verified")),"Submission evidence gap",IF(AND(S73="Verified",T73=""),"Source evidence gap","Recorded")))))))</x:f>
      </x:c>
      <x:c r="AB73" s="9" t="str">
        <x:f>IF(A73="","",IF(OR(I73="",J73=""),"Undated",IF(AND(I73&gt;='Dashboard'!$B$6,I73&lt;='Dashboard'!$B$7),"In period","Outside period")))</x:f>
      </x:c>
      <x:c r="AC73" s="9" t="str">
        <x:f>IF(A73="","",IF(AND(OR(K73="Complete",K73="Received partial"),O73&lt;&gt;"",O73&lt;='Dashboard'!$B$4),1,0))</x:f>
      </x:c>
      <x:c r="AD73" s="9" t="str">
        <x:f>IF(A73="","",IF(AND(U73="Verified submitted",V73&lt;&gt;"",V73&lt;='Dashboard'!$B$4,W73&lt;&gt;"",S73="Verified",T73&lt;&gt;""),1,0))</x:f>
      </x:c>
      <x:c r="AE73" s="1"/>
      <x:c r="AF73" s="1"/>
      <x:c r="AG73" s="1"/>
      <x:c r="AH73" s="1"/>
    </x:row>
    <x:row r="74" ht="23" customHeight="1">
      <x:c r="A74" s="8"/>
      <x:c r="B74" s="8"/>
      <x:c r="C74" s="9" t="str">
        <x:f>IF(B74="","",IF(COUNTIFS('Roster'!$A$6:$A$205,B74)&lt;&gt;1,"Check roster",IF(INDEX('Roster'!$B$6:$B$205,MATCH(B74,'Roster'!$A$6:$A$205,0))="","Site missing",INDEX('Roster'!$B$6:$B$205,MATCH(B74,'Roster'!$A$6:$A$205,0)))))</x:f>
      </x:c>
      <x:c r="D74" s="6"/>
      <x:c r="E74" s="7"/>
      <x:c r="F74" s="6"/>
      <x:c r="G74" s="6"/>
      <x:c r="H74" s="6"/>
      <x:c r="I74" s="7"/>
      <x:c r="J74" s="6"/>
      <x:c r="K74" s="6"/>
      <x:c r="L74" s="7"/>
      <x:c r="M74" s="7"/>
      <x:c r="N74" s="7"/>
      <x:c r="O74" s="7"/>
      <x:c r="P74" s="7"/>
      <x:c r="Q74" s="6"/>
      <x:c r="R74" s="7"/>
      <x:c r="S74" s="6"/>
      <x:c r="T74" s="6"/>
      <x:c r="U74" s="6"/>
      <x:c r="V74" s="7"/>
      <x:c r="W74" s="6"/>
      <x:c r="X74" s="7"/>
      <x:c r="Y74" s="9" t="str">
        <x:f>IF(A74="","",IF(OR(K74="Complete",K74="Declined",K74="Closed without data"),"Collection closed",IF(OR(I74="",J74=""),"Date unverified",IF(I74&lt;'Dashboard'!$B$4,"Overdue",IF(I74&lt;='Dashboard'!$B$4+'Dashboard'!$B$5,"Due soon","Later")))))</x:f>
      </x:c>
      <x:c r="Z74" s="9" t="str">
        <x:f>IF(A74="","",IF(H74="","Unassigned",IF(AND(L74&lt;&gt;"",M74=""),"Awaiting acknowledgement",IF(AND(R74&lt;&gt;"",R74&lt;'Dashboard'!$B$4),"Action date passed",IF(AND(OR(K74="Not started",K74="In progress",K74="Awaiting return",K74="Received partial",K74="Unable to reach"),OR(Q74="",R74="")),"Next action missing","No handoff flag")))))</x:f>
      </x:c>
      <x:c r="AA74" s="9" t="str">
        <x:f>IF(A74="","",IF(COUNTIFS($A$6:$A$205,A74)&gt;1,"Duplicate task ID",IF(COUNTIFS($B$6:$B$205,B74,$D$6:$D$205,D74,$E$6:$E$205,E74,$F$6:$F$205,F74)&gt;1,"Duplicate cycle/instrument",IF(OR(B74="",C74="Check roster",C74="Site missing",D74="",E74="",F74="",G74="",G74="Needs verification",K74="",S74="",U74="",X74=""),"Missing core fields",IF(AND(OR(K74="Complete",K74="Received partial"),O74=""),"Missing completion date",IF(AND(U74="Verified submitted",OR(V74="",W74="",S74&lt;&gt;"Verified")),"Submission evidence gap",IF(AND(S74="Verified",T74=""),"Source evidence gap","Recorded")))))))</x:f>
      </x:c>
      <x:c r="AB74" s="9" t="str">
        <x:f>IF(A74="","",IF(OR(I74="",J74=""),"Undated",IF(AND(I74&gt;='Dashboard'!$B$6,I74&lt;='Dashboard'!$B$7),"In period","Outside period")))</x:f>
      </x:c>
      <x:c r="AC74" s="9" t="str">
        <x:f>IF(A74="","",IF(AND(OR(K74="Complete",K74="Received partial"),O74&lt;&gt;"",O74&lt;='Dashboard'!$B$4),1,0))</x:f>
      </x:c>
      <x:c r="AD74" s="9" t="str">
        <x:f>IF(A74="","",IF(AND(U74="Verified submitted",V74&lt;&gt;"",V74&lt;='Dashboard'!$B$4,W74&lt;&gt;"",S74="Verified",T74&lt;&gt;""),1,0))</x:f>
      </x:c>
      <x:c r="AE74" s="1"/>
      <x:c r="AF74" s="1"/>
      <x:c r="AG74" s="1"/>
      <x:c r="AH74" s="1"/>
    </x:row>
    <x:row r="75" ht="23" customHeight="1">
      <x:c r="A75" s="8"/>
      <x:c r="B75" s="8"/>
      <x:c r="C75" s="9" t="str">
        <x:f>IF(B75="","",IF(COUNTIFS('Roster'!$A$6:$A$205,B75)&lt;&gt;1,"Check roster",IF(INDEX('Roster'!$B$6:$B$205,MATCH(B75,'Roster'!$A$6:$A$205,0))="","Site missing",INDEX('Roster'!$B$6:$B$205,MATCH(B75,'Roster'!$A$6:$A$205,0)))))</x:f>
      </x:c>
      <x:c r="D75" s="6"/>
      <x:c r="E75" s="7"/>
      <x:c r="F75" s="6"/>
      <x:c r="G75" s="6"/>
      <x:c r="H75" s="6"/>
      <x:c r="I75" s="7"/>
      <x:c r="J75" s="6"/>
      <x:c r="K75" s="6"/>
      <x:c r="L75" s="7"/>
      <x:c r="M75" s="7"/>
      <x:c r="N75" s="7"/>
      <x:c r="O75" s="7"/>
      <x:c r="P75" s="7"/>
      <x:c r="Q75" s="6"/>
      <x:c r="R75" s="7"/>
      <x:c r="S75" s="6"/>
      <x:c r="T75" s="6"/>
      <x:c r="U75" s="6"/>
      <x:c r="V75" s="7"/>
      <x:c r="W75" s="6"/>
      <x:c r="X75" s="7"/>
      <x:c r="Y75" s="9" t="str">
        <x:f>IF(A75="","",IF(OR(K75="Complete",K75="Declined",K75="Closed without data"),"Collection closed",IF(OR(I75="",J75=""),"Date unverified",IF(I75&lt;'Dashboard'!$B$4,"Overdue",IF(I75&lt;='Dashboard'!$B$4+'Dashboard'!$B$5,"Due soon","Later")))))</x:f>
      </x:c>
      <x:c r="Z75" s="9" t="str">
        <x:f>IF(A75="","",IF(H75="","Unassigned",IF(AND(L75&lt;&gt;"",M75=""),"Awaiting acknowledgement",IF(AND(R75&lt;&gt;"",R75&lt;'Dashboard'!$B$4),"Action date passed",IF(AND(OR(K75="Not started",K75="In progress",K75="Awaiting return",K75="Received partial",K75="Unable to reach"),OR(Q75="",R75="")),"Next action missing","No handoff flag")))))</x:f>
      </x:c>
      <x:c r="AA75" s="9" t="str">
        <x:f>IF(A75="","",IF(COUNTIFS($A$6:$A$205,A75)&gt;1,"Duplicate task ID",IF(COUNTIFS($B$6:$B$205,B75,$D$6:$D$205,D75,$E$6:$E$205,E75,$F$6:$F$205,F75)&gt;1,"Duplicate cycle/instrument",IF(OR(B75="",C75="Check roster",C75="Site missing",D75="",E75="",F75="",G75="",G75="Needs verification",K75="",S75="",U75="",X75=""),"Missing core fields",IF(AND(OR(K75="Complete",K75="Received partial"),O75=""),"Missing completion date",IF(AND(U75="Verified submitted",OR(V75="",W75="",S75&lt;&gt;"Verified")),"Submission evidence gap",IF(AND(S75="Verified",T75=""),"Source evidence gap","Recorded")))))))</x:f>
      </x:c>
      <x:c r="AB75" s="9" t="str">
        <x:f>IF(A75="","",IF(OR(I75="",J75=""),"Undated",IF(AND(I75&gt;='Dashboard'!$B$6,I75&lt;='Dashboard'!$B$7),"In period","Outside period")))</x:f>
      </x:c>
      <x:c r="AC75" s="9" t="str">
        <x:f>IF(A75="","",IF(AND(OR(K75="Complete",K75="Received partial"),O75&lt;&gt;"",O75&lt;='Dashboard'!$B$4),1,0))</x:f>
      </x:c>
      <x:c r="AD75" s="9" t="str">
        <x:f>IF(A75="","",IF(AND(U75="Verified submitted",V75&lt;&gt;"",V75&lt;='Dashboard'!$B$4,W75&lt;&gt;"",S75="Verified",T75&lt;&gt;""),1,0))</x:f>
      </x:c>
      <x:c r="AE75" s="1"/>
      <x:c r="AF75" s="1"/>
      <x:c r="AG75" s="1"/>
      <x:c r="AH75" s="1"/>
    </x:row>
    <x:row r="76" ht="23" customHeight="1">
      <x:c r="A76" s="8"/>
      <x:c r="B76" s="8"/>
      <x:c r="C76" s="9" t="str">
        <x:f>IF(B76="","",IF(COUNTIFS('Roster'!$A$6:$A$205,B76)&lt;&gt;1,"Check roster",IF(INDEX('Roster'!$B$6:$B$205,MATCH(B76,'Roster'!$A$6:$A$205,0))="","Site missing",INDEX('Roster'!$B$6:$B$205,MATCH(B76,'Roster'!$A$6:$A$205,0)))))</x:f>
      </x:c>
      <x:c r="D76" s="6"/>
      <x:c r="E76" s="7"/>
      <x:c r="F76" s="6"/>
      <x:c r="G76" s="6"/>
      <x:c r="H76" s="6"/>
      <x:c r="I76" s="7"/>
      <x:c r="J76" s="6"/>
      <x:c r="K76" s="6"/>
      <x:c r="L76" s="7"/>
      <x:c r="M76" s="7"/>
      <x:c r="N76" s="7"/>
      <x:c r="O76" s="7"/>
      <x:c r="P76" s="7"/>
      <x:c r="Q76" s="6"/>
      <x:c r="R76" s="7"/>
      <x:c r="S76" s="6"/>
      <x:c r="T76" s="6"/>
      <x:c r="U76" s="6"/>
      <x:c r="V76" s="7"/>
      <x:c r="W76" s="6"/>
      <x:c r="X76" s="7"/>
      <x:c r="Y76" s="9" t="str">
        <x:f>IF(A76="","",IF(OR(K76="Complete",K76="Declined",K76="Closed without data"),"Collection closed",IF(OR(I76="",J76=""),"Date unverified",IF(I76&lt;'Dashboard'!$B$4,"Overdue",IF(I76&lt;='Dashboard'!$B$4+'Dashboard'!$B$5,"Due soon","Later")))))</x:f>
      </x:c>
      <x:c r="Z76" s="9" t="str">
        <x:f>IF(A76="","",IF(H76="","Unassigned",IF(AND(L76&lt;&gt;"",M76=""),"Awaiting acknowledgement",IF(AND(R76&lt;&gt;"",R76&lt;'Dashboard'!$B$4),"Action date passed",IF(AND(OR(K76="Not started",K76="In progress",K76="Awaiting return",K76="Received partial",K76="Unable to reach"),OR(Q76="",R76="")),"Next action missing","No handoff flag")))))</x:f>
      </x:c>
      <x:c r="AA76" s="9" t="str">
        <x:f>IF(A76="","",IF(COUNTIFS($A$6:$A$205,A76)&gt;1,"Duplicate task ID",IF(COUNTIFS($B$6:$B$205,B76,$D$6:$D$205,D76,$E$6:$E$205,E76,$F$6:$F$205,F76)&gt;1,"Duplicate cycle/instrument",IF(OR(B76="",C76="Check roster",C76="Site missing",D76="",E76="",F76="",G76="",G76="Needs verification",K76="",S76="",U76="",X76=""),"Missing core fields",IF(AND(OR(K76="Complete",K76="Received partial"),O76=""),"Missing completion date",IF(AND(U76="Verified submitted",OR(V76="",W76="",S76&lt;&gt;"Verified")),"Submission evidence gap",IF(AND(S76="Verified",T76=""),"Source evidence gap","Recorded")))))))</x:f>
      </x:c>
      <x:c r="AB76" s="9" t="str">
        <x:f>IF(A76="","",IF(OR(I76="",J76=""),"Undated",IF(AND(I76&gt;='Dashboard'!$B$6,I76&lt;='Dashboard'!$B$7),"In period","Outside period")))</x:f>
      </x:c>
      <x:c r="AC76" s="9" t="str">
        <x:f>IF(A76="","",IF(AND(OR(K76="Complete",K76="Received partial"),O76&lt;&gt;"",O76&lt;='Dashboard'!$B$4),1,0))</x:f>
      </x:c>
      <x:c r="AD76" s="9" t="str">
        <x:f>IF(A76="","",IF(AND(U76="Verified submitted",V76&lt;&gt;"",V76&lt;='Dashboard'!$B$4,W76&lt;&gt;"",S76="Verified",T76&lt;&gt;""),1,0))</x:f>
      </x:c>
      <x:c r="AE76" s="1"/>
      <x:c r="AF76" s="1"/>
      <x:c r="AG76" s="1"/>
      <x:c r="AH76" s="1"/>
    </x:row>
    <x:row r="77" ht="23" customHeight="1">
      <x:c r="A77" s="8"/>
      <x:c r="B77" s="8"/>
      <x:c r="C77" s="9" t="str">
        <x:f>IF(B77="","",IF(COUNTIFS('Roster'!$A$6:$A$205,B77)&lt;&gt;1,"Check roster",IF(INDEX('Roster'!$B$6:$B$205,MATCH(B77,'Roster'!$A$6:$A$205,0))="","Site missing",INDEX('Roster'!$B$6:$B$205,MATCH(B77,'Roster'!$A$6:$A$205,0)))))</x:f>
      </x:c>
      <x:c r="D77" s="6"/>
      <x:c r="E77" s="7"/>
      <x:c r="F77" s="6"/>
      <x:c r="G77" s="6"/>
      <x:c r="H77" s="6"/>
      <x:c r="I77" s="7"/>
      <x:c r="J77" s="6"/>
      <x:c r="K77" s="6"/>
      <x:c r="L77" s="7"/>
      <x:c r="M77" s="7"/>
      <x:c r="N77" s="7"/>
      <x:c r="O77" s="7"/>
      <x:c r="P77" s="7"/>
      <x:c r="Q77" s="6"/>
      <x:c r="R77" s="7"/>
      <x:c r="S77" s="6"/>
      <x:c r="T77" s="6"/>
      <x:c r="U77" s="6"/>
      <x:c r="V77" s="7"/>
      <x:c r="W77" s="6"/>
      <x:c r="X77" s="7"/>
      <x:c r="Y77" s="9" t="str">
        <x:f>IF(A77="","",IF(OR(K77="Complete",K77="Declined",K77="Closed without data"),"Collection closed",IF(OR(I77="",J77=""),"Date unverified",IF(I77&lt;'Dashboard'!$B$4,"Overdue",IF(I77&lt;='Dashboard'!$B$4+'Dashboard'!$B$5,"Due soon","Later")))))</x:f>
      </x:c>
      <x:c r="Z77" s="9" t="str">
        <x:f>IF(A77="","",IF(H77="","Unassigned",IF(AND(L77&lt;&gt;"",M77=""),"Awaiting acknowledgement",IF(AND(R77&lt;&gt;"",R77&lt;'Dashboard'!$B$4),"Action date passed",IF(AND(OR(K77="Not started",K77="In progress",K77="Awaiting return",K77="Received partial",K77="Unable to reach"),OR(Q77="",R77="")),"Next action missing","No handoff flag")))))</x:f>
      </x:c>
      <x:c r="AA77" s="9" t="str">
        <x:f>IF(A77="","",IF(COUNTIFS($A$6:$A$205,A77)&gt;1,"Duplicate task ID",IF(COUNTIFS($B$6:$B$205,B77,$D$6:$D$205,D77,$E$6:$E$205,E77,$F$6:$F$205,F77)&gt;1,"Duplicate cycle/instrument",IF(OR(B77="",C77="Check roster",C77="Site missing",D77="",E77="",F77="",G77="",G77="Needs verification",K77="",S77="",U77="",X77=""),"Missing core fields",IF(AND(OR(K77="Complete",K77="Received partial"),O77=""),"Missing completion date",IF(AND(U77="Verified submitted",OR(V77="",W77="",S77&lt;&gt;"Verified")),"Submission evidence gap",IF(AND(S77="Verified",T77=""),"Source evidence gap","Recorded")))))))</x:f>
      </x:c>
      <x:c r="AB77" s="9" t="str">
        <x:f>IF(A77="","",IF(OR(I77="",J77=""),"Undated",IF(AND(I77&gt;='Dashboard'!$B$6,I77&lt;='Dashboard'!$B$7),"In period","Outside period")))</x:f>
      </x:c>
      <x:c r="AC77" s="9" t="str">
        <x:f>IF(A77="","",IF(AND(OR(K77="Complete",K77="Received partial"),O77&lt;&gt;"",O77&lt;='Dashboard'!$B$4),1,0))</x:f>
      </x:c>
      <x:c r="AD77" s="9" t="str">
        <x:f>IF(A77="","",IF(AND(U77="Verified submitted",V77&lt;&gt;"",V77&lt;='Dashboard'!$B$4,W77&lt;&gt;"",S77="Verified",T77&lt;&gt;""),1,0))</x:f>
      </x:c>
      <x:c r="AE77" s="1"/>
      <x:c r="AF77" s="1"/>
      <x:c r="AG77" s="1"/>
      <x:c r="AH77" s="1"/>
    </x:row>
    <x:row r="78" ht="23" customHeight="1">
      <x:c r="A78" s="8"/>
      <x:c r="B78" s="8"/>
      <x:c r="C78" s="9" t="str">
        <x:f>IF(B78="","",IF(COUNTIFS('Roster'!$A$6:$A$205,B78)&lt;&gt;1,"Check roster",IF(INDEX('Roster'!$B$6:$B$205,MATCH(B78,'Roster'!$A$6:$A$205,0))="","Site missing",INDEX('Roster'!$B$6:$B$205,MATCH(B78,'Roster'!$A$6:$A$205,0)))))</x:f>
      </x:c>
      <x:c r="D78" s="6"/>
      <x:c r="E78" s="7"/>
      <x:c r="F78" s="6"/>
      <x:c r="G78" s="6"/>
      <x:c r="H78" s="6"/>
      <x:c r="I78" s="7"/>
      <x:c r="J78" s="6"/>
      <x:c r="K78" s="6"/>
      <x:c r="L78" s="7"/>
      <x:c r="M78" s="7"/>
      <x:c r="N78" s="7"/>
      <x:c r="O78" s="7"/>
      <x:c r="P78" s="7"/>
      <x:c r="Q78" s="6"/>
      <x:c r="R78" s="7"/>
      <x:c r="S78" s="6"/>
      <x:c r="T78" s="6"/>
      <x:c r="U78" s="6"/>
      <x:c r="V78" s="7"/>
      <x:c r="W78" s="6"/>
      <x:c r="X78" s="7"/>
      <x:c r="Y78" s="9" t="str">
        <x:f>IF(A78="","",IF(OR(K78="Complete",K78="Declined",K78="Closed without data"),"Collection closed",IF(OR(I78="",J78=""),"Date unverified",IF(I78&lt;'Dashboard'!$B$4,"Overdue",IF(I78&lt;='Dashboard'!$B$4+'Dashboard'!$B$5,"Due soon","Later")))))</x:f>
      </x:c>
      <x:c r="Z78" s="9" t="str">
        <x:f>IF(A78="","",IF(H78="","Unassigned",IF(AND(L78&lt;&gt;"",M78=""),"Awaiting acknowledgement",IF(AND(R78&lt;&gt;"",R78&lt;'Dashboard'!$B$4),"Action date passed",IF(AND(OR(K78="Not started",K78="In progress",K78="Awaiting return",K78="Received partial",K78="Unable to reach"),OR(Q78="",R78="")),"Next action missing","No handoff flag")))))</x:f>
      </x:c>
      <x:c r="AA78" s="9" t="str">
        <x:f>IF(A78="","",IF(COUNTIFS($A$6:$A$205,A78)&gt;1,"Duplicate task ID",IF(COUNTIFS($B$6:$B$205,B78,$D$6:$D$205,D78,$E$6:$E$205,E78,$F$6:$F$205,F78)&gt;1,"Duplicate cycle/instrument",IF(OR(B78="",C78="Check roster",C78="Site missing",D78="",E78="",F78="",G78="",G78="Needs verification",K78="",S78="",U78="",X78=""),"Missing core fields",IF(AND(OR(K78="Complete",K78="Received partial"),O78=""),"Missing completion date",IF(AND(U78="Verified submitted",OR(V78="",W78="",S78&lt;&gt;"Verified")),"Submission evidence gap",IF(AND(S78="Verified",T78=""),"Source evidence gap","Recorded")))))))</x:f>
      </x:c>
      <x:c r="AB78" s="9" t="str">
        <x:f>IF(A78="","",IF(OR(I78="",J78=""),"Undated",IF(AND(I78&gt;='Dashboard'!$B$6,I78&lt;='Dashboard'!$B$7),"In period","Outside period")))</x:f>
      </x:c>
      <x:c r="AC78" s="9" t="str">
        <x:f>IF(A78="","",IF(AND(OR(K78="Complete",K78="Received partial"),O78&lt;&gt;"",O78&lt;='Dashboard'!$B$4),1,0))</x:f>
      </x:c>
      <x:c r="AD78" s="9" t="str">
        <x:f>IF(A78="","",IF(AND(U78="Verified submitted",V78&lt;&gt;"",V78&lt;='Dashboard'!$B$4,W78&lt;&gt;"",S78="Verified",T78&lt;&gt;""),1,0))</x:f>
      </x:c>
      <x:c r="AE78" s="1"/>
      <x:c r="AF78" s="1"/>
      <x:c r="AG78" s="1"/>
      <x:c r="AH78" s="1"/>
    </x:row>
    <x:row r="79" ht="23" customHeight="1">
      <x:c r="A79" s="8"/>
      <x:c r="B79" s="8"/>
      <x:c r="C79" s="9" t="str">
        <x:f>IF(B79="","",IF(COUNTIFS('Roster'!$A$6:$A$205,B79)&lt;&gt;1,"Check roster",IF(INDEX('Roster'!$B$6:$B$205,MATCH(B79,'Roster'!$A$6:$A$205,0))="","Site missing",INDEX('Roster'!$B$6:$B$205,MATCH(B79,'Roster'!$A$6:$A$205,0)))))</x:f>
      </x:c>
      <x:c r="D79" s="6"/>
      <x:c r="E79" s="7"/>
      <x:c r="F79" s="6"/>
      <x:c r="G79" s="6"/>
      <x:c r="H79" s="6"/>
      <x:c r="I79" s="7"/>
      <x:c r="J79" s="6"/>
      <x:c r="K79" s="6"/>
      <x:c r="L79" s="7"/>
      <x:c r="M79" s="7"/>
      <x:c r="N79" s="7"/>
      <x:c r="O79" s="7"/>
      <x:c r="P79" s="7"/>
      <x:c r="Q79" s="6"/>
      <x:c r="R79" s="7"/>
      <x:c r="S79" s="6"/>
      <x:c r="T79" s="6"/>
      <x:c r="U79" s="6"/>
      <x:c r="V79" s="7"/>
      <x:c r="W79" s="6"/>
      <x:c r="X79" s="7"/>
      <x:c r="Y79" s="9" t="str">
        <x:f>IF(A79="","",IF(OR(K79="Complete",K79="Declined",K79="Closed without data"),"Collection closed",IF(OR(I79="",J79=""),"Date unverified",IF(I79&lt;'Dashboard'!$B$4,"Overdue",IF(I79&lt;='Dashboard'!$B$4+'Dashboard'!$B$5,"Due soon","Later")))))</x:f>
      </x:c>
      <x:c r="Z79" s="9" t="str">
        <x:f>IF(A79="","",IF(H79="","Unassigned",IF(AND(L79&lt;&gt;"",M79=""),"Awaiting acknowledgement",IF(AND(R79&lt;&gt;"",R79&lt;'Dashboard'!$B$4),"Action date passed",IF(AND(OR(K79="Not started",K79="In progress",K79="Awaiting return",K79="Received partial",K79="Unable to reach"),OR(Q79="",R79="")),"Next action missing","No handoff flag")))))</x:f>
      </x:c>
      <x:c r="AA79" s="9" t="str">
        <x:f>IF(A79="","",IF(COUNTIFS($A$6:$A$205,A79)&gt;1,"Duplicate task ID",IF(COUNTIFS($B$6:$B$205,B79,$D$6:$D$205,D79,$E$6:$E$205,E79,$F$6:$F$205,F79)&gt;1,"Duplicate cycle/instrument",IF(OR(B79="",C79="Check roster",C79="Site missing",D79="",E79="",F79="",G79="",G79="Needs verification",K79="",S79="",U79="",X79=""),"Missing core fields",IF(AND(OR(K79="Complete",K79="Received partial"),O79=""),"Missing completion date",IF(AND(U79="Verified submitted",OR(V79="",W79="",S79&lt;&gt;"Verified")),"Submission evidence gap",IF(AND(S79="Verified",T79=""),"Source evidence gap","Recorded")))))))</x:f>
      </x:c>
      <x:c r="AB79" s="9" t="str">
        <x:f>IF(A79="","",IF(OR(I79="",J79=""),"Undated",IF(AND(I79&gt;='Dashboard'!$B$6,I79&lt;='Dashboard'!$B$7),"In period","Outside period")))</x:f>
      </x:c>
      <x:c r="AC79" s="9" t="str">
        <x:f>IF(A79="","",IF(AND(OR(K79="Complete",K79="Received partial"),O79&lt;&gt;"",O79&lt;='Dashboard'!$B$4),1,0))</x:f>
      </x:c>
      <x:c r="AD79" s="9" t="str">
        <x:f>IF(A79="","",IF(AND(U79="Verified submitted",V79&lt;&gt;"",V79&lt;='Dashboard'!$B$4,W79&lt;&gt;"",S79="Verified",T79&lt;&gt;""),1,0))</x:f>
      </x:c>
      <x:c r="AE79" s="1"/>
      <x:c r="AF79" s="1"/>
      <x:c r="AG79" s="1"/>
      <x:c r="AH79" s="1"/>
    </x:row>
    <x:row r="80" ht="23" customHeight="1">
      <x:c r="A80" s="8"/>
      <x:c r="B80" s="8"/>
      <x:c r="C80" s="9" t="str">
        <x:f>IF(B80="","",IF(COUNTIFS('Roster'!$A$6:$A$205,B80)&lt;&gt;1,"Check roster",IF(INDEX('Roster'!$B$6:$B$205,MATCH(B80,'Roster'!$A$6:$A$205,0))="","Site missing",INDEX('Roster'!$B$6:$B$205,MATCH(B80,'Roster'!$A$6:$A$205,0)))))</x:f>
      </x:c>
      <x:c r="D80" s="6"/>
      <x:c r="E80" s="7"/>
      <x:c r="F80" s="6"/>
      <x:c r="G80" s="6"/>
      <x:c r="H80" s="6"/>
      <x:c r="I80" s="7"/>
      <x:c r="J80" s="6"/>
      <x:c r="K80" s="6"/>
      <x:c r="L80" s="7"/>
      <x:c r="M80" s="7"/>
      <x:c r="N80" s="7"/>
      <x:c r="O80" s="7"/>
      <x:c r="P80" s="7"/>
      <x:c r="Q80" s="6"/>
      <x:c r="R80" s="7"/>
      <x:c r="S80" s="6"/>
      <x:c r="T80" s="6"/>
      <x:c r="U80" s="6"/>
      <x:c r="V80" s="7"/>
      <x:c r="W80" s="6"/>
      <x:c r="X80" s="7"/>
      <x:c r="Y80" s="9" t="str">
        <x:f>IF(A80="","",IF(OR(K80="Complete",K80="Declined",K80="Closed without data"),"Collection closed",IF(OR(I80="",J80=""),"Date unverified",IF(I80&lt;'Dashboard'!$B$4,"Overdue",IF(I80&lt;='Dashboard'!$B$4+'Dashboard'!$B$5,"Due soon","Later")))))</x:f>
      </x:c>
      <x:c r="Z80" s="9" t="str">
        <x:f>IF(A80="","",IF(H80="","Unassigned",IF(AND(L80&lt;&gt;"",M80=""),"Awaiting acknowledgement",IF(AND(R80&lt;&gt;"",R80&lt;'Dashboard'!$B$4),"Action date passed",IF(AND(OR(K80="Not started",K80="In progress",K80="Awaiting return",K80="Received partial",K80="Unable to reach"),OR(Q80="",R80="")),"Next action missing","No handoff flag")))))</x:f>
      </x:c>
      <x:c r="AA80" s="9" t="str">
        <x:f>IF(A80="","",IF(COUNTIFS($A$6:$A$205,A80)&gt;1,"Duplicate task ID",IF(COUNTIFS($B$6:$B$205,B80,$D$6:$D$205,D80,$E$6:$E$205,E80,$F$6:$F$205,F80)&gt;1,"Duplicate cycle/instrument",IF(OR(B80="",C80="Check roster",C80="Site missing",D80="",E80="",F80="",G80="",G80="Needs verification",K80="",S80="",U80="",X80=""),"Missing core fields",IF(AND(OR(K80="Complete",K80="Received partial"),O80=""),"Missing completion date",IF(AND(U80="Verified submitted",OR(V80="",W80="",S80&lt;&gt;"Verified")),"Submission evidence gap",IF(AND(S80="Verified",T80=""),"Source evidence gap","Recorded")))))))</x:f>
      </x:c>
      <x:c r="AB80" s="9" t="str">
        <x:f>IF(A80="","",IF(OR(I80="",J80=""),"Undated",IF(AND(I80&gt;='Dashboard'!$B$6,I80&lt;='Dashboard'!$B$7),"In period","Outside period")))</x:f>
      </x:c>
      <x:c r="AC80" s="9" t="str">
        <x:f>IF(A80="","",IF(AND(OR(K80="Complete",K80="Received partial"),O80&lt;&gt;"",O80&lt;='Dashboard'!$B$4),1,0))</x:f>
      </x:c>
      <x:c r="AD80" s="9" t="str">
        <x:f>IF(A80="","",IF(AND(U80="Verified submitted",V80&lt;&gt;"",V80&lt;='Dashboard'!$B$4,W80&lt;&gt;"",S80="Verified",T80&lt;&gt;""),1,0))</x:f>
      </x:c>
      <x:c r="AE80" s="1"/>
      <x:c r="AF80" s="1"/>
      <x:c r="AG80" s="1"/>
      <x:c r="AH80" s="1"/>
    </x:row>
    <x:row r="81" ht="23" customHeight="1">
      <x:c r="A81" s="8"/>
      <x:c r="B81" s="8"/>
      <x:c r="C81" s="9" t="str">
        <x:f>IF(B81="","",IF(COUNTIFS('Roster'!$A$6:$A$205,B81)&lt;&gt;1,"Check roster",IF(INDEX('Roster'!$B$6:$B$205,MATCH(B81,'Roster'!$A$6:$A$205,0))="","Site missing",INDEX('Roster'!$B$6:$B$205,MATCH(B81,'Roster'!$A$6:$A$205,0)))))</x:f>
      </x:c>
      <x:c r="D81" s="6"/>
      <x:c r="E81" s="7"/>
      <x:c r="F81" s="6"/>
      <x:c r="G81" s="6"/>
      <x:c r="H81" s="6"/>
      <x:c r="I81" s="7"/>
      <x:c r="J81" s="6"/>
      <x:c r="K81" s="6"/>
      <x:c r="L81" s="7"/>
      <x:c r="M81" s="7"/>
      <x:c r="N81" s="7"/>
      <x:c r="O81" s="7"/>
      <x:c r="P81" s="7"/>
      <x:c r="Q81" s="6"/>
      <x:c r="R81" s="7"/>
      <x:c r="S81" s="6"/>
      <x:c r="T81" s="6"/>
      <x:c r="U81" s="6"/>
      <x:c r="V81" s="7"/>
      <x:c r="W81" s="6"/>
      <x:c r="X81" s="7"/>
      <x:c r="Y81" s="9" t="str">
        <x:f>IF(A81="","",IF(OR(K81="Complete",K81="Declined",K81="Closed without data"),"Collection closed",IF(OR(I81="",J81=""),"Date unverified",IF(I81&lt;'Dashboard'!$B$4,"Overdue",IF(I81&lt;='Dashboard'!$B$4+'Dashboard'!$B$5,"Due soon","Later")))))</x:f>
      </x:c>
      <x:c r="Z81" s="9" t="str">
        <x:f>IF(A81="","",IF(H81="","Unassigned",IF(AND(L81&lt;&gt;"",M81=""),"Awaiting acknowledgement",IF(AND(R81&lt;&gt;"",R81&lt;'Dashboard'!$B$4),"Action date passed",IF(AND(OR(K81="Not started",K81="In progress",K81="Awaiting return",K81="Received partial",K81="Unable to reach"),OR(Q81="",R81="")),"Next action missing","No handoff flag")))))</x:f>
      </x:c>
      <x:c r="AA81" s="9" t="str">
        <x:f>IF(A81="","",IF(COUNTIFS($A$6:$A$205,A81)&gt;1,"Duplicate task ID",IF(COUNTIFS($B$6:$B$205,B81,$D$6:$D$205,D81,$E$6:$E$205,E81,$F$6:$F$205,F81)&gt;1,"Duplicate cycle/instrument",IF(OR(B81="",C81="Check roster",C81="Site missing",D81="",E81="",F81="",G81="",G81="Needs verification",K81="",S81="",U81="",X81=""),"Missing core fields",IF(AND(OR(K81="Complete",K81="Received partial"),O81=""),"Missing completion date",IF(AND(U81="Verified submitted",OR(V81="",W81="",S81&lt;&gt;"Verified")),"Submission evidence gap",IF(AND(S81="Verified",T81=""),"Source evidence gap","Recorded")))))))</x:f>
      </x:c>
      <x:c r="AB81" s="9" t="str">
        <x:f>IF(A81="","",IF(OR(I81="",J81=""),"Undated",IF(AND(I81&gt;='Dashboard'!$B$6,I81&lt;='Dashboard'!$B$7),"In period","Outside period")))</x:f>
      </x:c>
      <x:c r="AC81" s="9" t="str">
        <x:f>IF(A81="","",IF(AND(OR(K81="Complete",K81="Received partial"),O81&lt;&gt;"",O81&lt;='Dashboard'!$B$4),1,0))</x:f>
      </x:c>
      <x:c r="AD81" s="9" t="str">
        <x:f>IF(A81="","",IF(AND(U81="Verified submitted",V81&lt;&gt;"",V81&lt;='Dashboard'!$B$4,W81&lt;&gt;"",S81="Verified",T81&lt;&gt;""),1,0))</x:f>
      </x:c>
      <x:c r="AE81" s="1"/>
      <x:c r="AF81" s="1"/>
      <x:c r="AG81" s="1"/>
      <x:c r="AH81" s="1"/>
    </x:row>
    <x:row r="82" ht="23" customHeight="1">
      <x:c r="A82" s="8"/>
      <x:c r="B82" s="8"/>
      <x:c r="C82" s="9" t="str">
        <x:f>IF(B82="","",IF(COUNTIFS('Roster'!$A$6:$A$205,B82)&lt;&gt;1,"Check roster",IF(INDEX('Roster'!$B$6:$B$205,MATCH(B82,'Roster'!$A$6:$A$205,0))="","Site missing",INDEX('Roster'!$B$6:$B$205,MATCH(B82,'Roster'!$A$6:$A$205,0)))))</x:f>
      </x:c>
      <x:c r="D82" s="6"/>
      <x:c r="E82" s="7"/>
      <x:c r="F82" s="6"/>
      <x:c r="G82" s="6"/>
      <x:c r="H82" s="6"/>
      <x:c r="I82" s="7"/>
      <x:c r="J82" s="6"/>
      <x:c r="K82" s="6"/>
      <x:c r="L82" s="7"/>
      <x:c r="M82" s="7"/>
      <x:c r="N82" s="7"/>
      <x:c r="O82" s="7"/>
      <x:c r="P82" s="7"/>
      <x:c r="Q82" s="6"/>
      <x:c r="R82" s="7"/>
      <x:c r="S82" s="6"/>
      <x:c r="T82" s="6"/>
      <x:c r="U82" s="6"/>
      <x:c r="V82" s="7"/>
      <x:c r="W82" s="6"/>
      <x:c r="X82" s="7"/>
      <x:c r="Y82" s="9" t="str">
        <x:f>IF(A82="","",IF(OR(K82="Complete",K82="Declined",K82="Closed without data"),"Collection closed",IF(OR(I82="",J82=""),"Date unverified",IF(I82&lt;'Dashboard'!$B$4,"Overdue",IF(I82&lt;='Dashboard'!$B$4+'Dashboard'!$B$5,"Due soon","Later")))))</x:f>
      </x:c>
      <x:c r="Z82" s="9" t="str">
        <x:f>IF(A82="","",IF(H82="","Unassigned",IF(AND(L82&lt;&gt;"",M82=""),"Awaiting acknowledgement",IF(AND(R82&lt;&gt;"",R82&lt;'Dashboard'!$B$4),"Action date passed",IF(AND(OR(K82="Not started",K82="In progress",K82="Awaiting return",K82="Received partial",K82="Unable to reach"),OR(Q82="",R82="")),"Next action missing","No handoff flag")))))</x:f>
      </x:c>
      <x:c r="AA82" s="9" t="str">
        <x:f>IF(A82="","",IF(COUNTIFS($A$6:$A$205,A82)&gt;1,"Duplicate task ID",IF(COUNTIFS($B$6:$B$205,B82,$D$6:$D$205,D82,$E$6:$E$205,E82,$F$6:$F$205,F82)&gt;1,"Duplicate cycle/instrument",IF(OR(B82="",C82="Check roster",C82="Site missing",D82="",E82="",F82="",G82="",G82="Needs verification",K82="",S82="",U82="",X82=""),"Missing core fields",IF(AND(OR(K82="Complete",K82="Received partial"),O82=""),"Missing completion date",IF(AND(U82="Verified submitted",OR(V82="",W82="",S82&lt;&gt;"Verified")),"Submission evidence gap",IF(AND(S82="Verified",T82=""),"Source evidence gap","Recorded")))))))</x:f>
      </x:c>
      <x:c r="AB82" s="9" t="str">
        <x:f>IF(A82="","",IF(OR(I82="",J82=""),"Undated",IF(AND(I82&gt;='Dashboard'!$B$6,I82&lt;='Dashboard'!$B$7),"In period","Outside period")))</x:f>
      </x:c>
      <x:c r="AC82" s="9" t="str">
        <x:f>IF(A82="","",IF(AND(OR(K82="Complete",K82="Received partial"),O82&lt;&gt;"",O82&lt;='Dashboard'!$B$4),1,0))</x:f>
      </x:c>
      <x:c r="AD82" s="9" t="str">
        <x:f>IF(A82="","",IF(AND(U82="Verified submitted",V82&lt;&gt;"",V82&lt;='Dashboard'!$B$4,W82&lt;&gt;"",S82="Verified",T82&lt;&gt;""),1,0))</x:f>
      </x:c>
      <x:c r="AE82" s="1"/>
      <x:c r="AF82" s="1"/>
      <x:c r="AG82" s="1"/>
      <x:c r="AH82" s="1"/>
    </x:row>
    <x:row r="83" ht="23" customHeight="1">
      <x:c r="A83" s="8"/>
      <x:c r="B83" s="8"/>
      <x:c r="C83" s="9" t="str">
        <x:f>IF(B83="","",IF(COUNTIFS('Roster'!$A$6:$A$205,B83)&lt;&gt;1,"Check roster",IF(INDEX('Roster'!$B$6:$B$205,MATCH(B83,'Roster'!$A$6:$A$205,0))="","Site missing",INDEX('Roster'!$B$6:$B$205,MATCH(B83,'Roster'!$A$6:$A$205,0)))))</x:f>
      </x:c>
      <x:c r="D83" s="6"/>
      <x:c r="E83" s="7"/>
      <x:c r="F83" s="6"/>
      <x:c r="G83" s="6"/>
      <x:c r="H83" s="6"/>
      <x:c r="I83" s="7"/>
      <x:c r="J83" s="6"/>
      <x:c r="K83" s="6"/>
      <x:c r="L83" s="7"/>
      <x:c r="M83" s="7"/>
      <x:c r="N83" s="7"/>
      <x:c r="O83" s="7"/>
      <x:c r="P83" s="7"/>
      <x:c r="Q83" s="6"/>
      <x:c r="R83" s="7"/>
      <x:c r="S83" s="6"/>
      <x:c r="T83" s="6"/>
      <x:c r="U83" s="6"/>
      <x:c r="V83" s="7"/>
      <x:c r="W83" s="6"/>
      <x:c r="X83" s="7"/>
      <x:c r="Y83" s="9" t="str">
        <x:f>IF(A83="","",IF(OR(K83="Complete",K83="Declined",K83="Closed without data"),"Collection closed",IF(OR(I83="",J83=""),"Date unverified",IF(I83&lt;'Dashboard'!$B$4,"Overdue",IF(I83&lt;='Dashboard'!$B$4+'Dashboard'!$B$5,"Due soon","Later")))))</x:f>
      </x:c>
      <x:c r="Z83" s="9" t="str">
        <x:f>IF(A83="","",IF(H83="","Unassigned",IF(AND(L83&lt;&gt;"",M83=""),"Awaiting acknowledgement",IF(AND(R83&lt;&gt;"",R83&lt;'Dashboard'!$B$4),"Action date passed",IF(AND(OR(K83="Not started",K83="In progress",K83="Awaiting return",K83="Received partial",K83="Unable to reach"),OR(Q83="",R83="")),"Next action missing","No handoff flag")))))</x:f>
      </x:c>
      <x:c r="AA83" s="9" t="str">
        <x:f>IF(A83="","",IF(COUNTIFS($A$6:$A$205,A83)&gt;1,"Duplicate task ID",IF(COUNTIFS($B$6:$B$205,B83,$D$6:$D$205,D83,$E$6:$E$205,E83,$F$6:$F$205,F83)&gt;1,"Duplicate cycle/instrument",IF(OR(B83="",C83="Check roster",C83="Site missing",D83="",E83="",F83="",G83="",G83="Needs verification",K83="",S83="",U83="",X83=""),"Missing core fields",IF(AND(OR(K83="Complete",K83="Received partial"),O83=""),"Missing completion date",IF(AND(U83="Verified submitted",OR(V83="",W83="",S83&lt;&gt;"Verified")),"Submission evidence gap",IF(AND(S83="Verified",T83=""),"Source evidence gap","Recorded")))))))</x:f>
      </x:c>
      <x:c r="AB83" s="9" t="str">
        <x:f>IF(A83="","",IF(OR(I83="",J83=""),"Undated",IF(AND(I83&gt;='Dashboard'!$B$6,I83&lt;='Dashboard'!$B$7),"In period","Outside period")))</x:f>
      </x:c>
      <x:c r="AC83" s="9" t="str">
        <x:f>IF(A83="","",IF(AND(OR(K83="Complete",K83="Received partial"),O83&lt;&gt;"",O83&lt;='Dashboard'!$B$4),1,0))</x:f>
      </x:c>
      <x:c r="AD83" s="9" t="str">
        <x:f>IF(A83="","",IF(AND(U83="Verified submitted",V83&lt;&gt;"",V83&lt;='Dashboard'!$B$4,W83&lt;&gt;"",S83="Verified",T83&lt;&gt;""),1,0))</x:f>
      </x:c>
      <x:c r="AE83" s="1"/>
      <x:c r="AF83" s="1"/>
      <x:c r="AG83" s="1"/>
      <x:c r="AH83" s="1"/>
    </x:row>
    <x:row r="84" ht="23" customHeight="1">
      <x:c r="A84" s="8"/>
      <x:c r="B84" s="8"/>
      <x:c r="C84" s="9" t="str">
        <x:f>IF(B84="","",IF(COUNTIFS('Roster'!$A$6:$A$205,B84)&lt;&gt;1,"Check roster",IF(INDEX('Roster'!$B$6:$B$205,MATCH(B84,'Roster'!$A$6:$A$205,0))="","Site missing",INDEX('Roster'!$B$6:$B$205,MATCH(B84,'Roster'!$A$6:$A$205,0)))))</x:f>
      </x:c>
      <x:c r="D84" s="6"/>
      <x:c r="E84" s="7"/>
      <x:c r="F84" s="6"/>
      <x:c r="G84" s="6"/>
      <x:c r="H84" s="6"/>
      <x:c r="I84" s="7"/>
      <x:c r="J84" s="6"/>
      <x:c r="K84" s="6"/>
      <x:c r="L84" s="7"/>
      <x:c r="M84" s="7"/>
      <x:c r="N84" s="7"/>
      <x:c r="O84" s="7"/>
      <x:c r="P84" s="7"/>
      <x:c r="Q84" s="6"/>
      <x:c r="R84" s="7"/>
      <x:c r="S84" s="6"/>
      <x:c r="T84" s="6"/>
      <x:c r="U84" s="6"/>
      <x:c r="V84" s="7"/>
      <x:c r="W84" s="6"/>
      <x:c r="X84" s="7"/>
      <x:c r="Y84" s="9" t="str">
        <x:f>IF(A84="","",IF(OR(K84="Complete",K84="Declined",K84="Closed without data"),"Collection closed",IF(OR(I84="",J84=""),"Date unverified",IF(I84&lt;'Dashboard'!$B$4,"Overdue",IF(I84&lt;='Dashboard'!$B$4+'Dashboard'!$B$5,"Due soon","Later")))))</x:f>
      </x:c>
      <x:c r="Z84" s="9" t="str">
        <x:f>IF(A84="","",IF(H84="","Unassigned",IF(AND(L84&lt;&gt;"",M84=""),"Awaiting acknowledgement",IF(AND(R84&lt;&gt;"",R84&lt;'Dashboard'!$B$4),"Action date passed",IF(AND(OR(K84="Not started",K84="In progress",K84="Awaiting return",K84="Received partial",K84="Unable to reach"),OR(Q84="",R84="")),"Next action missing","No handoff flag")))))</x:f>
      </x:c>
      <x:c r="AA84" s="9" t="str">
        <x:f>IF(A84="","",IF(COUNTIFS($A$6:$A$205,A84)&gt;1,"Duplicate task ID",IF(COUNTIFS($B$6:$B$205,B84,$D$6:$D$205,D84,$E$6:$E$205,E84,$F$6:$F$205,F84)&gt;1,"Duplicate cycle/instrument",IF(OR(B84="",C84="Check roster",C84="Site missing",D84="",E84="",F84="",G84="",G84="Needs verification",K84="",S84="",U84="",X84=""),"Missing core fields",IF(AND(OR(K84="Complete",K84="Received partial"),O84=""),"Missing completion date",IF(AND(U84="Verified submitted",OR(V84="",W84="",S84&lt;&gt;"Verified")),"Submission evidence gap",IF(AND(S84="Verified",T84=""),"Source evidence gap","Recorded")))))))</x:f>
      </x:c>
      <x:c r="AB84" s="9" t="str">
        <x:f>IF(A84="","",IF(OR(I84="",J84=""),"Undated",IF(AND(I84&gt;='Dashboard'!$B$6,I84&lt;='Dashboard'!$B$7),"In period","Outside period")))</x:f>
      </x:c>
      <x:c r="AC84" s="9" t="str">
        <x:f>IF(A84="","",IF(AND(OR(K84="Complete",K84="Received partial"),O84&lt;&gt;"",O84&lt;='Dashboard'!$B$4),1,0))</x:f>
      </x:c>
      <x:c r="AD84" s="9" t="str">
        <x:f>IF(A84="","",IF(AND(U84="Verified submitted",V84&lt;&gt;"",V84&lt;='Dashboard'!$B$4,W84&lt;&gt;"",S84="Verified",T84&lt;&gt;""),1,0))</x:f>
      </x:c>
      <x:c r="AE84" s="1"/>
      <x:c r="AF84" s="1"/>
      <x:c r="AG84" s="1"/>
      <x:c r="AH84" s="1"/>
    </x:row>
    <x:row r="85" ht="23" customHeight="1">
      <x:c r="A85" s="8"/>
      <x:c r="B85" s="8"/>
      <x:c r="C85" s="9" t="str">
        <x:f>IF(B85="","",IF(COUNTIFS('Roster'!$A$6:$A$205,B85)&lt;&gt;1,"Check roster",IF(INDEX('Roster'!$B$6:$B$205,MATCH(B85,'Roster'!$A$6:$A$205,0))="","Site missing",INDEX('Roster'!$B$6:$B$205,MATCH(B85,'Roster'!$A$6:$A$205,0)))))</x:f>
      </x:c>
      <x:c r="D85" s="6"/>
      <x:c r="E85" s="7"/>
      <x:c r="F85" s="6"/>
      <x:c r="G85" s="6"/>
      <x:c r="H85" s="6"/>
      <x:c r="I85" s="7"/>
      <x:c r="J85" s="6"/>
      <x:c r="K85" s="6"/>
      <x:c r="L85" s="7"/>
      <x:c r="M85" s="7"/>
      <x:c r="N85" s="7"/>
      <x:c r="O85" s="7"/>
      <x:c r="P85" s="7"/>
      <x:c r="Q85" s="6"/>
      <x:c r="R85" s="7"/>
      <x:c r="S85" s="6"/>
      <x:c r="T85" s="6"/>
      <x:c r="U85" s="6"/>
      <x:c r="V85" s="7"/>
      <x:c r="W85" s="6"/>
      <x:c r="X85" s="7"/>
      <x:c r="Y85" s="9" t="str">
        <x:f>IF(A85="","",IF(OR(K85="Complete",K85="Declined",K85="Closed without data"),"Collection closed",IF(OR(I85="",J85=""),"Date unverified",IF(I85&lt;'Dashboard'!$B$4,"Overdue",IF(I85&lt;='Dashboard'!$B$4+'Dashboard'!$B$5,"Due soon","Later")))))</x:f>
      </x:c>
      <x:c r="Z85" s="9" t="str">
        <x:f>IF(A85="","",IF(H85="","Unassigned",IF(AND(L85&lt;&gt;"",M85=""),"Awaiting acknowledgement",IF(AND(R85&lt;&gt;"",R85&lt;'Dashboard'!$B$4),"Action date passed",IF(AND(OR(K85="Not started",K85="In progress",K85="Awaiting return",K85="Received partial",K85="Unable to reach"),OR(Q85="",R85="")),"Next action missing","No handoff flag")))))</x:f>
      </x:c>
      <x:c r="AA85" s="9" t="str">
        <x:f>IF(A85="","",IF(COUNTIFS($A$6:$A$205,A85)&gt;1,"Duplicate task ID",IF(COUNTIFS($B$6:$B$205,B85,$D$6:$D$205,D85,$E$6:$E$205,E85,$F$6:$F$205,F85)&gt;1,"Duplicate cycle/instrument",IF(OR(B85="",C85="Check roster",C85="Site missing",D85="",E85="",F85="",G85="",G85="Needs verification",K85="",S85="",U85="",X85=""),"Missing core fields",IF(AND(OR(K85="Complete",K85="Received partial"),O85=""),"Missing completion date",IF(AND(U85="Verified submitted",OR(V85="",W85="",S85&lt;&gt;"Verified")),"Submission evidence gap",IF(AND(S85="Verified",T85=""),"Source evidence gap","Recorded")))))))</x:f>
      </x:c>
      <x:c r="AB85" s="9" t="str">
        <x:f>IF(A85="","",IF(OR(I85="",J85=""),"Undated",IF(AND(I85&gt;='Dashboard'!$B$6,I85&lt;='Dashboard'!$B$7),"In period","Outside period")))</x:f>
      </x:c>
      <x:c r="AC85" s="9" t="str">
        <x:f>IF(A85="","",IF(AND(OR(K85="Complete",K85="Received partial"),O85&lt;&gt;"",O85&lt;='Dashboard'!$B$4),1,0))</x:f>
      </x:c>
      <x:c r="AD85" s="9" t="str">
        <x:f>IF(A85="","",IF(AND(U85="Verified submitted",V85&lt;&gt;"",V85&lt;='Dashboard'!$B$4,W85&lt;&gt;"",S85="Verified",T85&lt;&gt;""),1,0))</x:f>
      </x:c>
      <x:c r="AE85" s="1"/>
      <x:c r="AF85" s="1"/>
      <x:c r="AG85" s="1"/>
      <x:c r="AH85" s="1"/>
    </x:row>
    <x:row r="86" ht="23" customHeight="1">
      <x:c r="A86" s="8"/>
      <x:c r="B86" s="8"/>
      <x:c r="C86" s="9" t="str">
        <x:f>IF(B86="","",IF(COUNTIFS('Roster'!$A$6:$A$205,B86)&lt;&gt;1,"Check roster",IF(INDEX('Roster'!$B$6:$B$205,MATCH(B86,'Roster'!$A$6:$A$205,0))="","Site missing",INDEX('Roster'!$B$6:$B$205,MATCH(B86,'Roster'!$A$6:$A$205,0)))))</x:f>
      </x:c>
      <x:c r="D86" s="6"/>
      <x:c r="E86" s="7"/>
      <x:c r="F86" s="6"/>
      <x:c r="G86" s="6"/>
      <x:c r="H86" s="6"/>
      <x:c r="I86" s="7"/>
      <x:c r="J86" s="6"/>
      <x:c r="K86" s="6"/>
      <x:c r="L86" s="7"/>
      <x:c r="M86" s="7"/>
      <x:c r="N86" s="7"/>
      <x:c r="O86" s="7"/>
      <x:c r="P86" s="7"/>
      <x:c r="Q86" s="6"/>
      <x:c r="R86" s="7"/>
      <x:c r="S86" s="6"/>
      <x:c r="T86" s="6"/>
      <x:c r="U86" s="6"/>
      <x:c r="V86" s="7"/>
      <x:c r="W86" s="6"/>
      <x:c r="X86" s="7"/>
      <x:c r="Y86" s="9" t="str">
        <x:f>IF(A86="","",IF(OR(K86="Complete",K86="Declined",K86="Closed without data"),"Collection closed",IF(OR(I86="",J86=""),"Date unverified",IF(I86&lt;'Dashboard'!$B$4,"Overdue",IF(I86&lt;='Dashboard'!$B$4+'Dashboard'!$B$5,"Due soon","Later")))))</x:f>
      </x:c>
      <x:c r="Z86" s="9" t="str">
        <x:f>IF(A86="","",IF(H86="","Unassigned",IF(AND(L86&lt;&gt;"",M86=""),"Awaiting acknowledgement",IF(AND(R86&lt;&gt;"",R86&lt;'Dashboard'!$B$4),"Action date passed",IF(AND(OR(K86="Not started",K86="In progress",K86="Awaiting return",K86="Received partial",K86="Unable to reach"),OR(Q86="",R86="")),"Next action missing","No handoff flag")))))</x:f>
      </x:c>
      <x:c r="AA86" s="9" t="str">
        <x:f>IF(A86="","",IF(COUNTIFS($A$6:$A$205,A86)&gt;1,"Duplicate task ID",IF(COUNTIFS($B$6:$B$205,B86,$D$6:$D$205,D86,$E$6:$E$205,E86,$F$6:$F$205,F86)&gt;1,"Duplicate cycle/instrument",IF(OR(B86="",C86="Check roster",C86="Site missing",D86="",E86="",F86="",G86="",G86="Needs verification",K86="",S86="",U86="",X86=""),"Missing core fields",IF(AND(OR(K86="Complete",K86="Received partial"),O86=""),"Missing completion date",IF(AND(U86="Verified submitted",OR(V86="",W86="",S86&lt;&gt;"Verified")),"Submission evidence gap",IF(AND(S86="Verified",T86=""),"Source evidence gap","Recorded")))))))</x:f>
      </x:c>
      <x:c r="AB86" s="9" t="str">
        <x:f>IF(A86="","",IF(OR(I86="",J86=""),"Undated",IF(AND(I86&gt;='Dashboard'!$B$6,I86&lt;='Dashboard'!$B$7),"In period","Outside period")))</x:f>
      </x:c>
      <x:c r="AC86" s="9" t="str">
        <x:f>IF(A86="","",IF(AND(OR(K86="Complete",K86="Received partial"),O86&lt;&gt;"",O86&lt;='Dashboard'!$B$4),1,0))</x:f>
      </x:c>
      <x:c r="AD86" s="9" t="str">
        <x:f>IF(A86="","",IF(AND(U86="Verified submitted",V86&lt;&gt;"",V86&lt;='Dashboard'!$B$4,W86&lt;&gt;"",S86="Verified",T86&lt;&gt;""),1,0))</x:f>
      </x:c>
      <x:c r="AE86" s="1"/>
      <x:c r="AF86" s="1"/>
      <x:c r="AG86" s="1"/>
      <x:c r="AH86" s="1"/>
    </x:row>
    <x:row r="87" ht="23" customHeight="1">
      <x:c r="A87" s="8"/>
      <x:c r="B87" s="8"/>
      <x:c r="C87" s="9" t="str">
        <x:f>IF(B87="","",IF(COUNTIFS('Roster'!$A$6:$A$205,B87)&lt;&gt;1,"Check roster",IF(INDEX('Roster'!$B$6:$B$205,MATCH(B87,'Roster'!$A$6:$A$205,0))="","Site missing",INDEX('Roster'!$B$6:$B$205,MATCH(B87,'Roster'!$A$6:$A$205,0)))))</x:f>
      </x:c>
      <x:c r="D87" s="6"/>
      <x:c r="E87" s="7"/>
      <x:c r="F87" s="6"/>
      <x:c r="G87" s="6"/>
      <x:c r="H87" s="6"/>
      <x:c r="I87" s="7"/>
      <x:c r="J87" s="6"/>
      <x:c r="K87" s="6"/>
      <x:c r="L87" s="7"/>
      <x:c r="M87" s="7"/>
      <x:c r="N87" s="7"/>
      <x:c r="O87" s="7"/>
      <x:c r="P87" s="7"/>
      <x:c r="Q87" s="6"/>
      <x:c r="R87" s="7"/>
      <x:c r="S87" s="6"/>
      <x:c r="T87" s="6"/>
      <x:c r="U87" s="6"/>
      <x:c r="V87" s="7"/>
      <x:c r="W87" s="6"/>
      <x:c r="X87" s="7"/>
      <x:c r="Y87" s="9" t="str">
        <x:f>IF(A87="","",IF(OR(K87="Complete",K87="Declined",K87="Closed without data"),"Collection closed",IF(OR(I87="",J87=""),"Date unverified",IF(I87&lt;'Dashboard'!$B$4,"Overdue",IF(I87&lt;='Dashboard'!$B$4+'Dashboard'!$B$5,"Due soon","Later")))))</x:f>
      </x:c>
      <x:c r="Z87" s="9" t="str">
        <x:f>IF(A87="","",IF(H87="","Unassigned",IF(AND(L87&lt;&gt;"",M87=""),"Awaiting acknowledgement",IF(AND(R87&lt;&gt;"",R87&lt;'Dashboard'!$B$4),"Action date passed",IF(AND(OR(K87="Not started",K87="In progress",K87="Awaiting return",K87="Received partial",K87="Unable to reach"),OR(Q87="",R87="")),"Next action missing","No handoff flag")))))</x:f>
      </x:c>
      <x:c r="AA87" s="9" t="str">
        <x:f>IF(A87="","",IF(COUNTIFS($A$6:$A$205,A87)&gt;1,"Duplicate task ID",IF(COUNTIFS($B$6:$B$205,B87,$D$6:$D$205,D87,$E$6:$E$205,E87,$F$6:$F$205,F87)&gt;1,"Duplicate cycle/instrument",IF(OR(B87="",C87="Check roster",C87="Site missing",D87="",E87="",F87="",G87="",G87="Needs verification",K87="",S87="",U87="",X87=""),"Missing core fields",IF(AND(OR(K87="Complete",K87="Received partial"),O87=""),"Missing completion date",IF(AND(U87="Verified submitted",OR(V87="",W87="",S87&lt;&gt;"Verified")),"Submission evidence gap",IF(AND(S87="Verified",T87=""),"Source evidence gap","Recorded")))))))</x:f>
      </x:c>
      <x:c r="AB87" s="9" t="str">
        <x:f>IF(A87="","",IF(OR(I87="",J87=""),"Undated",IF(AND(I87&gt;='Dashboard'!$B$6,I87&lt;='Dashboard'!$B$7),"In period","Outside period")))</x:f>
      </x:c>
      <x:c r="AC87" s="9" t="str">
        <x:f>IF(A87="","",IF(AND(OR(K87="Complete",K87="Received partial"),O87&lt;&gt;"",O87&lt;='Dashboard'!$B$4),1,0))</x:f>
      </x:c>
      <x:c r="AD87" s="9" t="str">
        <x:f>IF(A87="","",IF(AND(U87="Verified submitted",V87&lt;&gt;"",V87&lt;='Dashboard'!$B$4,W87&lt;&gt;"",S87="Verified",T87&lt;&gt;""),1,0))</x:f>
      </x:c>
      <x:c r="AE87" s="1"/>
      <x:c r="AF87" s="1"/>
      <x:c r="AG87" s="1"/>
      <x:c r="AH87" s="1"/>
    </x:row>
    <x:row r="88" ht="23" customHeight="1">
      <x:c r="A88" s="8"/>
      <x:c r="B88" s="8"/>
      <x:c r="C88" s="9" t="str">
        <x:f>IF(B88="","",IF(COUNTIFS('Roster'!$A$6:$A$205,B88)&lt;&gt;1,"Check roster",IF(INDEX('Roster'!$B$6:$B$205,MATCH(B88,'Roster'!$A$6:$A$205,0))="","Site missing",INDEX('Roster'!$B$6:$B$205,MATCH(B88,'Roster'!$A$6:$A$205,0)))))</x:f>
      </x:c>
      <x:c r="D88" s="6"/>
      <x:c r="E88" s="7"/>
      <x:c r="F88" s="6"/>
      <x:c r="G88" s="6"/>
      <x:c r="H88" s="6"/>
      <x:c r="I88" s="7"/>
      <x:c r="J88" s="6"/>
      <x:c r="K88" s="6"/>
      <x:c r="L88" s="7"/>
      <x:c r="M88" s="7"/>
      <x:c r="N88" s="7"/>
      <x:c r="O88" s="7"/>
      <x:c r="P88" s="7"/>
      <x:c r="Q88" s="6"/>
      <x:c r="R88" s="7"/>
      <x:c r="S88" s="6"/>
      <x:c r="T88" s="6"/>
      <x:c r="U88" s="6"/>
      <x:c r="V88" s="7"/>
      <x:c r="W88" s="6"/>
      <x:c r="X88" s="7"/>
      <x:c r="Y88" s="9" t="str">
        <x:f>IF(A88="","",IF(OR(K88="Complete",K88="Declined",K88="Closed without data"),"Collection closed",IF(OR(I88="",J88=""),"Date unverified",IF(I88&lt;'Dashboard'!$B$4,"Overdue",IF(I88&lt;='Dashboard'!$B$4+'Dashboard'!$B$5,"Due soon","Later")))))</x:f>
      </x:c>
      <x:c r="Z88" s="9" t="str">
        <x:f>IF(A88="","",IF(H88="","Unassigned",IF(AND(L88&lt;&gt;"",M88=""),"Awaiting acknowledgement",IF(AND(R88&lt;&gt;"",R88&lt;'Dashboard'!$B$4),"Action date passed",IF(AND(OR(K88="Not started",K88="In progress",K88="Awaiting return",K88="Received partial",K88="Unable to reach"),OR(Q88="",R88="")),"Next action missing","No handoff flag")))))</x:f>
      </x:c>
      <x:c r="AA88" s="9" t="str">
        <x:f>IF(A88="","",IF(COUNTIFS($A$6:$A$205,A88)&gt;1,"Duplicate task ID",IF(COUNTIFS($B$6:$B$205,B88,$D$6:$D$205,D88,$E$6:$E$205,E88,$F$6:$F$205,F88)&gt;1,"Duplicate cycle/instrument",IF(OR(B88="",C88="Check roster",C88="Site missing",D88="",E88="",F88="",G88="",G88="Needs verification",K88="",S88="",U88="",X88=""),"Missing core fields",IF(AND(OR(K88="Complete",K88="Received partial"),O88=""),"Missing completion date",IF(AND(U88="Verified submitted",OR(V88="",W88="",S88&lt;&gt;"Verified")),"Submission evidence gap",IF(AND(S88="Verified",T88=""),"Source evidence gap","Recorded")))))))</x:f>
      </x:c>
      <x:c r="AB88" s="9" t="str">
        <x:f>IF(A88="","",IF(OR(I88="",J88=""),"Undated",IF(AND(I88&gt;='Dashboard'!$B$6,I88&lt;='Dashboard'!$B$7),"In period","Outside period")))</x:f>
      </x:c>
      <x:c r="AC88" s="9" t="str">
        <x:f>IF(A88="","",IF(AND(OR(K88="Complete",K88="Received partial"),O88&lt;&gt;"",O88&lt;='Dashboard'!$B$4),1,0))</x:f>
      </x:c>
      <x:c r="AD88" s="9" t="str">
        <x:f>IF(A88="","",IF(AND(U88="Verified submitted",V88&lt;&gt;"",V88&lt;='Dashboard'!$B$4,W88&lt;&gt;"",S88="Verified",T88&lt;&gt;""),1,0))</x:f>
      </x:c>
      <x:c r="AE88" s="1"/>
      <x:c r="AF88" s="1"/>
      <x:c r="AG88" s="1"/>
      <x:c r="AH88" s="1"/>
    </x:row>
    <x:row r="89" ht="23" customHeight="1">
      <x:c r="A89" s="8"/>
      <x:c r="B89" s="8"/>
      <x:c r="C89" s="9" t="str">
        <x:f>IF(B89="","",IF(COUNTIFS('Roster'!$A$6:$A$205,B89)&lt;&gt;1,"Check roster",IF(INDEX('Roster'!$B$6:$B$205,MATCH(B89,'Roster'!$A$6:$A$205,0))="","Site missing",INDEX('Roster'!$B$6:$B$205,MATCH(B89,'Roster'!$A$6:$A$205,0)))))</x:f>
      </x:c>
      <x:c r="D89" s="6"/>
      <x:c r="E89" s="7"/>
      <x:c r="F89" s="6"/>
      <x:c r="G89" s="6"/>
      <x:c r="H89" s="6"/>
      <x:c r="I89" s="7"/>
      <x:c r="J89" s="6"/>
      <x:c r="K89" s="6"/>
      <x:c r="L89" s="7"/>
      <x:c r="M89" s="7"/>
      <x:c r="N89" s="7"/>
      <x:c r="O89" s="7"/>
      <x:c r="P89" s="7"/>
      <x:c r="Q89" s="6"/>
      <x:c r="R89" s="7"/>
      <x:c r="S89" s="6"/>
      <x:c r="T89" s="6"/>
      <x:c r="U89" s="6"/>
      <x:c r="V89" s="7"/>
      <x:c r="W89" s="6"/>
      <x:c r="X89" s="7"/>
      <x:c r="Y89" s="9" t="str">
        <x:f>IF(A89="","",IF(OR(K89="Complete",K89="Declined",K89="Closed without data"),"Collection closed",IF(OR(I89="",J89=""),"Date unverified",IF(I89&lt;'Dashboard'!$B$4,"Overdue",IF(I89&lt;='Dashboard'!$B$4+'Dashboard'!$B$5,"Due soon","Later")))))</x:f>
      </x:c>
      <x:c r="Z89" s="9" t="str">
        <x:f>IF(A89="","",IF(H89="","Unassigned",IF(AND(L89&lt;&gt;"",M89=""),"Awaiting acknowledgement",IF(AND(R89&lt;&gt;"",R89&lt;'Dashboard'!$B$4),"Action date passed",IF(AND(OR(K89="Not started",K89="In progress",K89="Awaiting return",K89="Received partial",K89="Unable to reach"),OR(Q89="",R89="")),"Next action missing","No handoff flag")))))</x:f>
      </x:c>
      <x:c r="AA89" s="9" t="str">
        <x:f>IF(A89="","",IF(COUNTIFS($A$6:$A$205,A89)&gt;1,"Duplicate task ID",IF(COUNTIFS($B$6:$B$205,B89,$D$6:$D$205,D89,$E$6:$E$205,E89,$F$6:$F$205,F89)&gt;1,"Duplicate cycle/instrument",IF(OR(B89="",C89="Check roster",C89="Site missing",D89="",E89="",F89="",G89="",G89="Needs verification",K89="",S89="",U89="",X89=""),"Missing core fields",IF(AND(OR(K89="Complete",K89="Received partial"),O89=""),"Missing completion date",IF(AND(U89="Verified submitted",OR(V89="",W89="",S89&lt;&gt;"Verified")),"Submission evidence gap",IF(AND(S89="Verified",T89=""),"Source evidence gap","Recorded")))))))</x:f>
      </x:c>
      <x:c r="AB89" s="9" t="str">
        <x:f>IF(A89="","",IF(OR(I89="",J89=""),"Undated",IF(AND(I89&gt;='Dashboard'!$B$6,I89&lt;='Dashboard'!$B$7),"In period","Outside period")))</x:f>
      </x:c>
      <x:c r="AC89" s="9" t="str">
        <x:f>IF(A89="","",IF(AND(OR(K89="Complete",K89="Received partial"),O89&lt;&gt;"",O89&lt;='Dashboard'!$B$4),1,0))</x:f>
      </x:c>
      <x:c r="AD89" s="9" t="str">
        <x:f>IF(A89="","",IF(AND(U89="Verified submitted",V89&lt;&gt;"",V89&lt;='Dashboard'!$B$4,W89&lt;&gt;"",S89="Verified",T89&lt;&gt;""),1,0))</x:f>
      </x:c>
      <x:c r="AE89" s="1"/>
      <x:c r="AF89" s="1"/>
      <x:c r="AG89" s="1"/>
      <x:c r="AH89" s="1"/>
    </x:row>
    <x:row r="90" ht="23" customHeight="1">
      <x:c r="A90" s="8"/>
      <x:c r="B90" s="8"/>
      <x:c r="C90" s="9" t="str">
        <x:f>IF(B90="","",IF(COUNTIFS('Roster'!$A$6:$A$205,B90)&lt;&gt;1,"Check roster",IF(INDEX('Roster'!$B$6:$B$205,MATCH(B90,'Roster'!$A$6:$A$205,0))="","Site missing",INDEX('Roster'!$B$6:$B$205,MATCH(B90,'Roster'!$A$6:$A$205,0)))))</x:f>
      </x:c>
      <x:c r="D90" s="6"/>
      <x:c r="E90" s="7"/>
      <x:c r="F90" s="6"/>
      <x:c r="G90" s="6"/>
      <x:c r="H90" s="6"/>
      <x:c r="I90" s="7"/>
      <x:c r="J90" s="6"/>
      <x:c r="K90" s="6"/>
      <x:c r="L90" s="7"/>
      <x:c r="M90" s="7"/>
      <x:c r="N90" s="7"/>
      <x:c r="O90" s="7"/>
      <x:c r="P90" s="7"/>
      <x:c r="Q90" s="6"/>
      <x:c r="R90" s="7"/>
      <x:c r="S90" s="6"/>
      <x:c r="T90" s="6"/>
      <x:c r="U90" s="6"/>
      <x:c r="V90" s="7"/>
      <x:c r="W90" s="6"/>
      <x:c r="X90" s="7"/>
      <x:c r="Y90" s="9" t="str">
        <x:f>IF(A90="","",IF(OR(K90="Complete",K90="Declined",K90="Closed without data"),"Collection closed",IF(OR(I90="",J90=""),"Date unverified",IF(I90&lt;'Dashboard'!$B$4,"Overdue",IF(I90&lt;='Dashboard'!$B$4+'Dashboard'!$B$5,"Due soon","Later")))))</x:f>
      </x:c>
      <x:c r="Z90" s="9" t="str">
        <x:f>IF(A90="","",IF(H90="","Unassigned",IF(AND(L90&lt;&gt;"",M90=""),"Awaiting acknowledgement",IF(AND(R90&lt;&gt;"",R90&lt;'Dashboard'!$B$4),"Action date passed",IF(AND(OR(K90="Not started",K90="In progress",K90="Awaiting return",K90="Received partial",K90="Unable to reach"),OR(Q90="",R90="")),"Next action missing","No handoff flag")))))</x:f>
      </x:c>
      <x:c r="AA90" s="9" t="str">
        <x:f>IF(A90="","",IF(COUNTIFS($A$6:$A$205,A90)&gt;1,"Duplicate task ID",IF(COUNTIFS($B$6:$B$205,B90,$D$6:$D$205,D90,$E$6:$E$205,E90,$F$6:$F$205,F90)&gt;1,"Duplicate cycle/instrument",IF(OR(B90="",C90="Check roster",C90="Site missing",D90="",E90="",F90="",G90="",G90="Needs verification",K90="",S90="",U90="",X90=""),"Missing core fields",IF(AND(OR(K90="Complete",K90="Received partial"),O90=""),"Missing completion date",IF(AND(U90="Verified submitted",OR(V90="",W90="",S90&lt;&gt;"Verified")),"Submission evidence gap",IF(AND(S90="Verified",T90=""),"Source evidence gap","Recorded")))))))</x:f>
      </x:c>
      <x:c r="AB90" s="9" t="str">
        <x:f>IF(A90="","",IF(OR(I90="",J90=""),"Undated",IF(AND(I90&gt;='Dashboard'!$B$6,I90&lt;='Dashboard'!$B$7),"In period","Outside period")))</x:f>
      </x:c>
      <x:c r="AC90" s="9" t="str">
        <x:f>IF(A90="","",IF(AND(OR(K90="Complete",K90="Received partial"),O90&lt;&gt;"",O90&lt;='Dashboard'!$B$4),1,0))</x:f>
      </x:c>
      <x:c r="AD90" s="9" t="str">
        <x:f>IF(A90="","",IF(AND(U90="Verified submitted",V90&lt;&gt;"",V90&lt;='Dashboard'!$B$4,W90&lt;&gt;"",S90="Verified",T90&lt;&gt;""),1,0))</x:f>
      </x:c>
      <x:c r="AE90" s="1"/>
      <x:c r="AF90" s="1"/>
      <x:c r="AG90" s="1"/>
      <x:c r="AH90" s="1"/>
    </x:row>
    <x:row r="91" ht="23" customHeight="1">
      <x:c r="A91" s="8"/>
      <x:c r="B91" s="8"/>
      <x:c r="C91" s="9" t="str">
        <x:f>IF(B91="","",IF(COUNTIFS('Roster'!$A$6:$A$205,B91)&lt;&gt;1,"Check roster",IF(INDEX('Roster'!$B$6:$B$205,MATCH(B91,'Roster'!$A$6:$A$205,0))="","Site missing",INDEX('Roster'!$B$6:$B$205,MATCH(B91,'Roster'!$A$6:$A$205,0)))))</x:f>
      </x:c>
      <x:c r="D91" s="6"/>
      <x:c r="E91" s="7"/>
      <x:c r="F91" s="6"/>
      <x:c r="G91" s="6"/>
      <x:c r="H91" s="6"/>
      <x:c r="I91" s="7"/>
      <x:c r="J91" s="6"/>
      <x:c r="K91" s="6"/>
      <x:c r="L91" s="7"/>
      <x:c r="M91" s="7"/>
      <x:c r="N91" s="7"/>
      <x:c r="O91" s="7"/>
      <x:c r="P91" s="7"/>
      <x:c r="Q91" s="6"/>
      <x:c r="R91" s="7"/>
      <x:c r="S91" s="6"/>
      <x:c r="T91" s="6"/>
      <x:c r="U91" s="6"/>
      <x:c r="V91" s="7"/>
      <x:c r="W91" s="6"/>
      <x:c r="X91" s="7"/>
      <x:c r="Y91" s="9" t="str">
        <x:f>IF(A91="","",IF(OR(K91="Complete",K91="Declined",K91="Closed without data"),"Collection closed",IF(OR(I91="",J91=""),"Date unverified",IF(I91&lt;'Dashboard'!$B$4,"Overdue",IF(I91&lt;='Dashboard'!$B$4+'Dashboard'!$B$5,"Due soon","Later")))))</x:f>
      </x:c>
      <x:c r="Z91" s="9" t="str">
        <x:f>IF(A91="","",IF(H91="","Unassigned",IF(AND(L91&lt;&gt;"",M91=""),"Awaiting acknowledgement",IF(AND(R91&lt;&gt;"",R91&lt;'Dashboard'!$B$4),"Action date passed",IF(AND(OR(K91="Not started",K91="In progress",K91="Awaiting return",K91="Received partial",K91="Unable to reach"),OR(Q91="",R91="")),"Next action missing","No handoff flag")))))</x:f>
      </x:c>
      <x:c r="AA91" s="9" t="str">
        <x:f>IF(A91="","",IF(COUNTIFS($A$6:$A$205,A91)&gt;1,"Duplicate task ID",IF(COUNTIFS($B$6:$B$205,B91,$D$6:$D$205,D91,$E$6:$E$205,E91,$F$6:$F$205,F91)&gt;1,"Duplicate cycle/instrument",IF(OR(B91="",C91="Check roster",C91="Site missing",D91="",E91="",F91="",G91="",G91="Needs verification",K91="",S91="",U91="",X91=""),"Missing core fields",IF(AND(OR(K91="Complete",K91="Received partial"),O91=""),"Missing completion date",IF(AND(U91="Verified submitted",OR(V91="",W91="",S91&lt;&gt;"Verified")),"Submission evidence gap",IF(AND(S91="Verified",T91=""),"Source evidence gap","Recorded")))))))</x:f>
      </x:c>
      <x:c r="AB91" s="9" t="str">
        <x:f>IF(A91="","",IF(OR(I91="",J91=""),"Undated",IF(AND(I91&gt;='Dashboard'!$B$6,I91&lt;='Dashboard'!$B$7),"In period","Outside period")))</x:f>
      </x:c>
      <x:c r="AC91" s="9" t="str">
        <x:f>IF(A91="","",IF(AND(OR(K91="Complete",K91="Received partial"),O91&lt;&gt;"",O91&lt;='Dashboard'!$B$4),1,0))</x:f>
      </x:c>
      <x:c r="AD91" s="9" t="str">
        <x:f>IF(A91="","",IF(AND(U91="Verified submitted",V91&lt;&gt;"",V91&lt;='Dashboard'!$B$4,W91&lt;&gt;"",S91="Verified",T91&lt;&gt;""),1,0))</x:f>
      </x:c>
      <x:c r="AE91" s="1"/>
      <x:c r="AF91" s="1"/>
      <x:c r="AG91" s="1"/>
      <x:c r="AH91" s="1"/>
    </x:row>
    <x:row r="92" ht="23" customHeight="1">
      <x:c r="A92" s="8"/>
      <x:c r="B92" s="8"/>
      <x:c r="C92" s="9" t="str">
        <x:f>IF(B92="","",IF(COUNTIFS('Roster'!$A$6:$A$205,B92)&lt;&gt;1,"Check roster",IF(INDEX('Roster'!$B$6:$B$205,MATCH(B92,'Roster'!$A$6:$A$205,0))="","Site missing",INDEX('Roster'!$B$6:$B$205,MATCH(B92,'Roster'!$A$6:$A$205,0)))))</x:f>
      </x:c>
      <x:c r="D92" s="6"/>
      <x:c r="E92" s="7"/>
      <x:c r="F92" s="6"/>
      <x:c r="G92" s="6"/>
      <x:c r="H92" s="6"/>
      <x:c r="I92" s="7"/>
      <x:c r="J92" s="6"/>
      <x:c r="K92" s="6"/>
      <x:c r="L92" s="7"/>
      <x:c r="M92" s="7"/>
      <x:c r="N92" s="7"/>
      <x:c r="O92" s="7"/>
      <x:c r="P92" s="7"/>
      <x:c r="Q92" s="6"/>
      <x:c r="R92" s="7"/>
      <x:c r="S92" s="6"/>
      <x:c r="T92" s="6"/>
      <x:c r="U92" s="6"/>
      <x:c r="V92" s="7"/>
      <x:c r="W92" s="6"/>
      <x:c r="X92" s="7"/>
      <x:c r="Y92" s="9" t="str">
        <x:f>IF(A92="","",IF(OR(K92="Complete",K92="Declined",K92="Closed without data"),"Collection closed",IF(OR(I92="",J92=""),"Date unverified",IF(I92&lt;'Dashboard'!$B$4,"Overdue",IF(I92&lt;='Dashboard'!$B$4+'Dashboard'!$B$5,"Due soon","Later")))))</x:f>
      </x:c>
      <x:c r="Z92" s="9" t="str">
        <x:f>IF(A92="","",IF(H92="","Unassigned",IF(AND(L92&lt;&gt;"",M92=""),"Awaiting acknowledgement",IF(AND(R92&lt;&gt;"",R92&lt;'Dashboard'!$B$4),"Action date passed",IF(AND(OR(K92="Not started",K92="In progress",K92="Awaiting return",K92="Received partial",K92="Unable to reach"),OR(Q92="",R92="")),"Next action missing","No handoff flag")))))</x:f>
      </x:c>
      <x:c r="AA92" s="9" t="str">
        <x:f>IF(A92="","",IF(COUNTIFS($A$6:$A$205,A92)&gt;1,"Duplicate task ID",IF(COUNTIFS($B$6:$B$205,B92,$D$6:$D$205,D92,$E$6:$E$205,E92,$F$6:$F$205,F92)&gt;1,"Duplicate cycle/instrument",IF(OR(B92="",C92="Check roster",C92="Site missing",D92="",E92="",F92="",G92="",G92="Needs verification",K92="",S92="",U92="",X92=""),"Missing core fields",IF(AND(OR(K92="Complete",K92="Received partial"),O92=""),"Missing completion date",IF(AND(U92="Verified submitted",OR(V92="",W92="",S92&lt;&gt;"Verified")),"Submission evidence gap",IF(AND(S92="Verified",T92=""),"Source evidence gap","Recorded")))))))</x:f>
      </x:c>
      <x:c r="AB92" s="9" t="str">
        <x:f>IF(A92="","",IF(OR(I92="",J92=""),"Undated",IF(AND(I92&gt;='Dashboard'!$B$6,I92&lt;='Dashboard'!$B$7),"In period","Outside period")))</x:f>
      </x:c>
      <x:c r="AC92" s="9" t="str">
        <x:f>IF(A92="","",IF(AND(OR(K92="Complete",K92="Received partial"),O92&lt;&gt;"",O92&lt;='Dashboard'!$B$4),1,0))</x:f>
      </x:c>
      <x:c r="AD92" s="9" t="str">
        <x:f>IF(A92="","",IF(AND(U92="Verified submitted",V92&lt;&gt;"",V92&lt;='Dashboard'!$B$4,W92&lt;&gt;"",S92="Verified",T92&lt;&gt;""),1,0))</x:f>
      </x:c>
      <x:c r="AE92" s="1"/>
      <x:c r="AF92" s="1"/>
      <x:c r="AG92" s="1"/>
      <x:c r="AH92" s="1"/>
    </x:row>
    <x:row r="93" ht="23" customHeight="1">
      <x:c r="A93" s="8"/>
      <x:c r="B93" s="8"/>
      <x:c r="C93" s="9" t="str">
        <x:f>IF(B93="","",IF(COUNTIFS('Roster'!$A$6:$A$205,B93)&lt;&gt;1,"Check roster",IF(INDEX('Roster'!$B$6:$B$205,MATCH(B93,'Roster'!$A$6:$A$205,0))="","Site missing",INDEX('Roster'!$B$6:$B$205,MATCH(B93,'Roster'!$A$6:$A$205,0)))))</x:f>
      </x:c>
      <x:c r="D93" s="6"/>
      <x:c r="E93" s="7"/>
      <x:c r="F93" s="6"/>
      <x:c r="G93" s="6"/>
      <x:c r="H93" s="6"/>
      <x:c r="I93" s="7"/>
      <x:c r="J93" s="6"/>
      <x:c r="K93" s="6"/>
      <x:c r="L93" s="7"/>
      <x:c r="M93" s="7"/>
      <x:c r="N93" s="7"/>
      <x:c r="O93" s="7"/>
      <x:c r="P93" s="7"/>
      <x:c r="Q93" s="6"/>
      <x:c r="R93" s="7"/>
      <x:c r="S93" s="6"/>
      <x:c r="T93" s="6"/>
      <x:c r="U93" s="6"/>
      <x:c r="V93" s="7"/>
      <x:c r="W93" s="6"/>
      <x:c r="X93" s="7"/>
      <x:c r="Y93" s="9" t="str">
        <x:f>IF(A93="","",IF(OR(K93="Complete",K93="Declined",K93="Closed without data"),"Collection closed",IF(OR(I93="",J93=""),"Date unverified",IF(I93&lt;'Dashboard'!$B$4,"Overdue",IF(I93&lt;='Dashboard'!$B$4+'Dashboard'!$B$5,"Due soon","Later")))))</x:f>
      </x:c>
      <x:c r="Z93" s="9" t="str">
        <x:f>IF(A93="","",IF(H93="","Unassigned",IF(AND(L93&lt;&gt;"",M93=""),"Awaiting acknowledgement",IF(AND(R93&lt;&gt;"",R93&lt;'Dashboard'!$B$4),"Action date passed",IF(AND(OR(K93="Not started",K93="In progress",K93="Awaiting return",K93="Received partial",K93="Unable to reach"),OR(Q93="",R93="")),"Next action missing","No handoff flag")))))</x:f>
      </x:c>
      <x:c r="AA93" s="9" t="str">
        <x:f>IF(A93="","",IF(COUNTIFS($A$6:$A$205,A93)&gt;1,"Duplicate task ID",IF(COUNTIFS($B$6:$B$205,B93,$D$6:$D$205,D93,$E$6:$E$205,E93,$F$6:$F$205,F93)&gt;1,"Duplicate cycle/instrument",IF(OR(B93="",C93="Check roster",C93="Site missing",D93="",E93="",F93="",G93="",G93="Needs verification",K93="",S93="",U93="",X93=""),"Missing core fields",IF(AND(OR(K93="Complete",K93="Received partial"),O93=""),"Missing completion date",IF(AND(U93="Verified submitted",OR(V93="",W93="",S93&lt;&gt;"Verified")),"Submission evidence gap",IF(AND(S93="Verified",T93=""),"Source evidence gap","Recorded")))))))</x:f>
      </x:c>
      <x:c r="AB93" s="9" t="str">
        <x:f>IF(A93="","",IF(OR(I93="",J93=""),"Undated",IF(AND(I93&gt;='Dashboard'!$B$6,I93&lt;='Dashboard'!$B$7),"In period","Outside period")))</x:f>
      </x:c>
      <x:c r="AC93" s="9" t="str">
        <x:f>IF(A93="","",IF(AND(OR(K93="Complete",K93="Received partial"),O93&lt;&gt;"",O93&lt;='Dashboard'!$B$4),1,0))</x:f>
      </x:c>
      <x:c r="AD93" s="9" t="str">
        <x:f>IF(A93="","",IF(AND(U93="Verified submitted",V93&lt;&gt;"",V93&lt;='Dashboard'!$B$4,W93&lt;&gt;"",S93="Verified",T93&lt;&gt;""),1,0))</x:f>
      </x:c>
      <x:c r="AE93" s="1"/>
      <x:c r="AF93" s="1"/>
      <x:c r="AG93" s="1"/>
      <x:c r="AH93" s="1"/>
    </x:row>
    <x:row r="94" ht="23" customHeight="1">
      <x:c r="A94" s="8"/>
      <x:c r="B94" s="8"/>
      <x:c r="C94" s="9" t="str">
        <x:f>IF(B94="","",IF(COUNTIFS('Roster'!$A$6:$A$205,B94)&lt;&gt;1,"Check roster",IF(INDEX('Roster'!$B$6:$B$205,MATCH(B94,'Roster'!$A$6:$A$205,0))="","Site missing",INDEX('Roster'!$B$6:$B$205,MATCH(B94,'Roster'!$A$6:$A$205,0)))))</x:f>
      </x:c>
      <x:c r="D94" s="6"/>
      <x:c r="E94" s="7"/>
      <x:c r="F94" s="6"/>
      <x:c r="G94" s="6"/>
      <x:c r="H94" s="6"/>
      <x:c r="I94" s="7"/>
      <x:c r="J94" s="6"/>
      <x:c r="K94" s="6"/>
      <x:c r="L94" s="7"/>
      <x:c r="M94" s="7"/>
      <x:c r="N94" s="7"/>
      <x:c r="O94" s="7"/>
      <x:c r="P94" s="7"/>
      <x:c r="Q94" s="6"/>
      <x:c r="R94" s="7"/>
      <x:c r="S94" s="6"/>
      <x:c r="T94" s="6"/>
      <x:c r="U94" s="6"/>
      <x:c r="V94" s="7"/>
      <x:c r="W94" s="6"/>
      <x:c r="X94" s="7"/>
      <x:c r="Y94" s="9" t="str">
        <x:f>IF(A94="","",IF(OR(K94="Complete",K94="Declined",K94="Closed without data"),"Collection closed",IF(OR(I94="",J94=""),"Date unverified",IF(I94&lt;'Dashboard'!$B$4,"Overdue",IF(I94&lt;='Dashboard'!$B$4+'Dashboard'!$B$5,"Due soon","Later")))))</x:f>
      </x:c>
      <x:c r="Z94" s="9" t="str">
        <x:f>IF(A94="","",IF(H94="","Unassigned",IF(AND(L94&lt;&gt;"",M94=""),"Awaiting acknowledgement",IF(AND(R94&lt;&gt;"",R94&lt;'Dashboard'!$B$4),"Action date passed",IF(AND(OR(K94="Not started",K94="In progress",K94="Awaiting return",K94="Received partial",K94="Unable to reach"),OR(Q94="",R94="")),"Next action missing","No handoff flag")))))</x:f>
      </x:c>
      <x:c r="AA94" s="9" t="str">
        <x:f>IF(A94="","",IF(COUNTIFS($A$6:$A$205,A94)&gt;1,"Duplicate task ID",IF(COUNTIFS($B$6:$B$205,B94,$D$6:$D$205,D94,$E$6:$E$205,E94,$F$6:$F$205,F94)&gt;1,"Duplicate cycle/instrument",IF(OR(B94="",C94="Check roster",C94="Site missing",D94="",E94="",F94="",G94="",G94="Needs verification",K94="",S94="",U94="",X94=""),"Missing core fields",IF(AND(OR(K94="Complete",K94="Received partial"),O94=""),"Missing completion date",IF(AND(U94="Verified submitted",OR(V94="",W94="",S94&lt;&gt;"Verified")),"Submission evidence gap",IF(AND(S94="Verified",T94=""),"Source evidence gap","Recorded")))))))</x:f>
      </x:c>
      <x:c r="AB94" s="9" t="str">
        <x:f>IF(A94="","",IF(OR(I94="",J94=""),"Undated",IF(AND(I94&gt;='Dashboard'!$B$6,I94&lt;='Dashboard'!$B$7),"In period","Outside period")))</x:f>
      </x:c>
      <x:c r="AC94" s="9" t="str">
        <x:f>IF(A94="","",IF(AND(OR(K94="Complete",K94="Received partial"),O94&lt;&gt;"",O94&lt;='Dashboard'!$B$4),1,0))</x:f>
      </x:c>
      <x:c r="AD94" s="9" t="str">
        <x:f>IF(A94="","",IF(AND(U94="Verified submitted",V94&lt;&gt;"",V94&lt;='Dashboard'!$B$4,W94&lt;&gt;"",S94="Verified",T94&lt;&gt;""),1,0))</x:f>
      </x:c>
      <x:c r="AE94" s="1"/>
      <x:c r="AF94" s="1"/>
      <x:c r="AG94" s="1"/>
      <x:c r="AH94" s="1"/>
    </x:row>
    <x:row r="95" ht="23" customHeight="1">
      <x:c r="A95" s="8"/>
      <x:c r="B95" s="8"/>
      <x:c r="C95" s="9" t="str">
        <x:f>IF(B95="","",IF(COUNTIFS('Roster'!$A$6:$A$205,B95)&lt;&gt;1,"Check roster",IF(INDEX('Roster'!$B$6:$B$205,MATCH(B95,'Roster'!$A$6:$A$205,0))="","Site missing",INDEX('Roster'!$B$6:$B$205,MATCH(B95,'Roster'!$A$6:$A$205,0)))))</x:f>
      </x:c>
      <x:c r="D95" s="6"/>
      <x:c r="E95" s="7"/>
      <x:c r="F95" s="6"/>
      <x:c r="G95" s="6"/>
      <x:c r="H95" s="6"/>
      <x:c r="I95" s="7"/>
      <x:c r="J95" s="6"/>
      <x:c r="K95" s="6"/>
      <x:c r="L95" s="7"/>
      <x:c r="M95" s="7"/>
      <x:c r="N95" s="7"/>
      <x:c r="O95" s="7"/>
      <x:c r="P95" s="7"/>
      <x:c r="Q95" s="6"/>
      <x:c r="R95" s="7"/>
      <x:c r="S95" s="6"/>
      <x:c r="T95" s="6"/>
      <x:c r="U95" s="6"/>
      <x:c r="V95" s="7"/>
      <x:c r="W95" s="6"/>
      <x:c r="X95" s="7"/>
      <x:c r="Y95" s="9" t="str">
        <x:f>IF(A95="","",IF(OR(K95="Complete",K95="Declined",K95="Closed without data"),"Collection closed",IF(OR(I95="",J95=""),"Date unverified",IF(I95&lt;'Dashboard'!$B$4,"Overdue",IF(I95&lt;='Dashboard'!$B$4+'Dashboard'!$B$5,"Due soon","Later")))))</x:f>
      </x:c>
      <x:c r="Z95" s="9" t="str">
        <x:f>IF(A95="","",IF(H95="","Unassigned",IF(AND(L95&lt;&gt;"",M95=""),"Awaiting acknowledgement",IF(AND(R95&lt;&gt;"",R95&lt;'Dashboard'!$B$4),"Action date passed",IF(AND(OR(K95="Not started",K95="In progress",K95="Awaiting return",K95="Received partial",K95="Unable to reach"),OR(Q95="",R95="")),"Next action missing","No handoff flag")))))</x:f>
      </x:c>
      <x:c r="AA95" s="9" t="str">
        <x:f>IF(A95="","",IF(COUNTIFS($A$6:$A$205,A95)&gt;1,"Duplicate task ID",IF(COUNTIFS($B$6:$B$205,B95,$D$6:$D$205,D95,$E$6:$E$205,E95,$F$6:$F$205,F95)&gt;1,"Duplicate cycle/instrument",IF(OR(B95="",C95="Check roster",C95="Site missing",D95="",E95="",F95="",G95="",G95="Needs verification",K95="",S95="",U95="",X95=""),"Missing core fields",IF(AND(OR(K95="Complete",K95="Received partial"),O95=""),"Missing completion date",IF(AND(U95="Verified submitted",OR(V95="",W95="",S95&lt;&gt;"Verified")),"Submission evidence gap",IF(AND(S95="Verified",T95=""),"Source evidence gap","Recorded")))))))</x:f>
      </x:c>
      <x:c r="AB95" s="9" t="str">
        <x:f>IF(A95="","",IF(OR(I95="",J95=""),"Undated",IF(AND(I95&gt;='Dashboard'!$B$6,I95&lt;='Dashboard'!$B$7),"In period","Outside period")))</x:f>
      </x:c>
      <x:c r="AC95" s="9" t="str">
        <x:f>IF(A95="","",IF(AND(OR(K95="Complete",K95="Received partial"),O95&lt;&gt;"",O95&lt;='Dashboard'!$B$4),1,0))</x:f>
      </x:c>
      <x:c r="AD95" s="9" t="str">
        <x:f>IF(A95="","",IF(AND(U95="Verified submitted",V95&lt;&gt;"",V95&lt;='Dashboard'!$B$4,W95&lt;&gt;"",S95="Verified",T95&lt;&gt;""),1,0))</x:f>
      </x:c>
      <x:c r="AE95" s="1"/>
      <x:c r="AF95" s="1"/>
      <x:c r="AG95" s="1"/>
      <x:c r="AH95" s="1"/>
    </x:row>
    <x:row r="96" ht="23" customHeight="1">
      <x:c r="A96" s="8"/>
      <x:c r="B96" s="8"/>
      <x:c r="C96" s="9" t="str">
        <x:f>IF(B96="","",IF(COUNTIFS('Roster'!$A$6:$A$205,B96)&lt;&gt;1,"Check roster",IF(INDEX('Roster'!$B$6:$B$205,MATCH(B96,'Roster'!$A$6:$A$205,0))="","Site missing",INDEX('Roster'!$B$6:$B$205,MATCH(B96,'Roster'!$A$6:$A$205,0)))))</x:f>
      </x:c>
      <x:c r="D96" s="6"/>
      <x:c r="E96" s="7"/>
      <x:c r="F96" s="6"/>
      <x:c r="G96" s="6"/>
      <x:c r="H96" s="6"/>
      <x:c r="I96" s="7"/>
      <x:c r="J96" s="6"/>
      <x:c r="K96" s="6"/>
      <x:c r="L96" s="7"/>
      <x:c r="M96" s="7"/>
      <x:c r="N96" s="7"/>
      <x:c r="O96" s="7"/>
      <x:c r="P96" s="7"/>
      <x:c r="Q96" s="6"/>
      <x:c r="R96" s="7"/>
      <x:c r="S96" s="6"/>
      <x:c r="T96" s="6"/>
      <x:c r="U96" s="6"/>
      <x:c r="V96" s="7"/>
      <x:c r="W96" s="6"/>
      <x:c r="X96" s="7"/>
      <x:c r="Y96" s="9" t="str">
        <x:f>IF(A96="","",IF(OR(K96="Complete",K96="Declined",K96="Closed without data"),"Collection closed",IF(OR(I96="",J96=""),"Date unverified",IF(I96&lt;'Dashboard'!$B$4,"Overdue",IF(I96&lt;='Dashboard'!$B$4+'Dashboard'!$B$5,"Due soon","Later")))))</x:f>
      </x:c>
      <x:c r="Z96" s="9" t="str">
        <x:f>IF(A96="","",IF(H96="","Unassigned",IF(AND(L96&lt;&gt;"",M96=""),"Awaiting acknowledgement",IF(AND(R96&lt;&gt;"",R96&lt;'Dashboard'!$B$4),"Action date passed",IF(AND(OR(K96="Not started",K96="In progress",K96="Awaiting return",K96="Received partial",K96="Unable to reach"),OR(Q96="",R96="")),"Next action missing","No handoff flag")))))</x:f>
      </x:c>
      <x:c r="AA96" s="9" t="str">
        <x:f>IF(A96="","",IF(COUNTIFS($A$6:$A$205,A96)&gt;1,"Duplicate task ID",IF(COUNTIFS($B$6:$B$205,B96,$D$6:$D$205,D96,$E$6:$E$205,E96,$F$6:$F$205,F96)&gt;1,"Duplicate cycle/instrument",IF(OR(B96="",C96="Check roster",C96="Site missing",D96="",E96="",F96="",G96="",G96="Needs verification",K96="",S96="",U96="",X96=""),"Missing core fields",IF(AND(OR(K96="Complete",K96="Received partial"),O96=""),"Missing completion date",IF(AND(U96="Verified submitted",OR(V96="",W96="",S96&lt;&gt;"Verified")),"Submission evidence gap",IF(AND(S96="Verified",T96=""),"Source evidence gap","Recorded")))))))</x:f>
      </x:c>
      <x:c r="AB96" s="9" t="str">
        <x:f>IF(A96="","",IF(OR(I96="",J96=""),"Undated",IF(AND(I96&gt;='Dashboard'!$B$6,I96&lt;='Dashboard'!$B$7),"In period","Outside period")))</x:f>
      </x:c>
      <x:c r="AC96" s="9" t="str">
        <x:f>IF(A96="","",IF(AND(OR(K96="Complete",K96="Received partial"),O96&lt;&gt;"",O96&lt;='Dashboard'!$B$4),1,0))</x:f>
      </x:c>
      <x:c r="AD96" s="9" t="str">
        <x:f>IF(A96="","",IF(AND(U96="Verified submitted",V96&lt;&gt;"",V96&lt;='Dashboard'!$B$4,W96&lt;&gt;"",S96="Verified",T96&lt;&gt;""),1,0))</x:f>
      </x:c>
      <x:c r="AE96" s="1"/>
      <x:c r="AF96" s="1"/>
      <x:c r="AG96" s="1"/>
      <x:c r="AH96" s="1"/>
    </x:row>
    <x:row r="97" ht="23" customHeight="1">
      <x:c r="A97" s="8"/>
      <x:c r="B97" s="8"/>
      <x:c r="C97" s="9" t="str">
        <x:f>IF(B97="","",IF(COUNTIFS('Roster'!$A$6:$A$205,B97)&lt;&gt;1,"Check roster",IF(INDEX('Roster'!$B$6:$B$205,MATCH(B97,'Roster'!$A$6:$A$205,0))="","Site missing",INDEX('Roster'!$B$6:$B$205,MATCH(B97,'Roster'!$A$6:$A$205,0)))))</x:f>
      </x:c>
      <x:c r="D97" s="6"/>
      <x:c r="E97" s="7"/>
      <x:c r="F97" s="6"/>
      <x:c r="G97" s="6"/>
      <x:c r="H97" s="6"/>
      <x:c r="I97" s="7"/>
      <x:c r="J97" s="6"/>
      <x:c r="K97" s="6"/>
      <x:c r="L97" s="7"/>
      <x:c r="M97" s="7"/>
      <x:c r="N97" s="7"/>
      <x:c r="O97" s="7"/>
      <x:c r="P97" s="7"/>
      <x:c r="Q97" s="6"/>
      <x:c r="R97" s="7"/>
      <x:c r="S97" s="6"/>
      <x:c r="T97" s="6"/>
      <x:c r="U97" s="6"/>
      <x:c r="V97" s="7"/>
      <x:c r="W97" s="6"/>
      <x:c r="X97" s="7"/>
      <x:c r="Y97" s="9" t="str">
        <x:f>IF(A97="","",IF(OR(K97="Complete",K97="Declined",K97="Closed without data"),"Collection closed",IF(OR(I97="",J97=""),"Date unverified",IF(I97&lt;'Dashboard'!$B$4,"Overdue",IF(I97&lt;='Dashboard'!$B$4+'Dashboard'!$B$5,"Due soon","Later")))))</x:f>
      </x:c>
      <x:c r="Z97" s="9" t="str">
        <x:f>IF(A97="","",IF(H97="","Unassigned",IF(AND(L97&lt;&gt;"",M97=""),"Awaiting acknowledgement",IF(AND(R97&lt;&gt;"",R97&lt;'Dashboard'!$B$4),"Action date passed",IF(AND(OR(K97="Not started",K97="In progress",K97="Awaiting return",K97="Received partial",K97="Unable to reach"),OR(Q97="",R97="")),"Next action missing","No handoff flag")))))</x:f>
      </x:c>
      <x:c r="AA97" s="9" t="str">
        <x:f>IF(A97="","",IF(COUNTIFS($A$6:$A$205,A97)&gt;1,"Duplicate task ID",IF(COUNTIFS($B$6:$B$205,B97,$D$6:$D$205,D97,$E$6:$E$205,E97,$F$6:$F$205,F97)&gt;1,"Duplicate cycle/instrument",IF(OR(B97="",C97="Check roster",C97="Site missing",D97="",E97="",F97="",G97="",G97="Needs verification",K97="",S97="",U97="",X97=""),"Missing core fields",IF(AND(OR(K97="Complete",K97="Received partial"),O97=""),"Missing completion date",IF(AND(U97="Verified submitted",OR(V97="",W97="",S97&lt;&gt;"Verified")),"Submission evidence gap",IF(AND(S97="Verified",T97=""),"Source evidence gap","Recorded")))))))</x:f>
      </x:c>
      <x:c r="AB97" s="9" t="str">
        <x:f>IF(A97="","",IF(OR(I97="",J97=""),"Undated",IF(AND(I97&gt;='Dashboard'!$B$6,I97&lt;='Dashboard'!$B$7),"In period","Outside period")))</x:f>
      </x:c>
      <x:c r="AC97" s="9" t="str">
        <x:f>IF(A97="","",IF(AND(OR(K97="Complete",K97="Received partial"),O97&lt;&gt;"",O97&lt;='Dashboard'!$B$4),1,0))</x:f>
      </x:c>
      <x:c r="AD97" s="9" t="str">
        <x:f>IF(A97="","",IF(AND(U97="Verified submitted",V97&lt;&gt;"",V97&lt;='Dashboard'!$B$4,W97&lt;&gt;"",S97="Verified",T97&lt;&gt;""),1,0))</x:f>
      </x:c>
      <x:c r="AE97" s="1"/>
      <x:c r="AF97" s="1"/>
      <x:c r="AG97" s="1"/>
      <x:c r="AH97" s="1"/>
    </x:row>
    <x:row r="98" ht="23" customHeight="1">
      <x:c r="A98" s="8"/>
      <x:c r="B98" s="8"/>
      <x:c r="C98" s="9" t="str">
        <x:f>IF(B98="","",IF(COUNTIFS('Roster'!$A$6:$A$205,B98)&lt;&gt;1,"Check roster",IF(INDEX('Roster'!$B$6:$B$205,MATCH(B98,'Roster'!$A$6:$A$205,0))="","Site missing",INDEX('Roster'!$B$6:$B$205,MATCH(B98,'Roster'!$A$6:$A$205,0)))))</x:f>
      </x:c>
      <x:c r="D98" s="6"/>
      <x:c r="E98" s="7"/>
      <x:c r="F98" s="6"/>
      <x:c r="G98" s="6"/>
      <x:c r="H98" s="6"/>
      <x:c r="I98" s="7"/>
      <x:c r="J98" s="6"/>
      <x:c r="K98" s="6"/>
      <x:c r="L98" s="7"/>
      <x:c r="M98" s="7"/>
      <x:c r="N98" s="7"/>
      <x:c r="O98" s="7"/>
      <x:c r="P98" s="7"/>
      <x:c r="Q98" s="6"/>
      <x:c r="R98" s="7"/>
      <x:c r="S98" s="6"/>
      <x:c r="T98" s="6"/>
      <x:c r="U98" s="6"/>
      <x:c r="V98" s="7"/>
      <x:c r="W98" s="6"/>
      <x:c r="X98" s="7"/>
      <x:c r="Y98" s="9" t="str">
        <x:f>IF(A98="","",IF(OR(K98="Complete",K98="Declined",K98="Closed without data"),"Collection closed",IF(OR(I98="",J98=""),"Date unverified",IF(I98&lt;'Dashboard'!$B$4,"Overdue",IF(I98&lt;='Dashboard'!$B$4+'Dashboard'!$B$5,"Due soon","Later")))))</x:f>
      </x:c>
      <x:c r="Z98" s="9" t="str">
        <x:f>IF(A98="","",IF(H98="","Unassigned",IF(AND(L98&lt;&gt;"",M98=""),"Awaiting acknowledgement",IF(AND(R98&lt;&gt;"",R98&lt;'Dashboard'!$B$4),"Action date passed",IF(AND(OR(K98="Not started",K98="In progress",K98="Awaiting return",K98="Received partial",K98="Unable to reach"),OR(Q98="",R98="")),"Next action missing","No handoff flag")))))</x:f>
      </x:c>
      <x:c r="AA98" s="9" t="str">
        <x:f>IF(A98="","",IF(COUNTIFS($A$6:$A$205,A98)&gt;1,"Duplicate task ID",IF(COUNTIFS($B$6:$B$205,B98,$D$6:$D$205,D98,$E$6:$E$205,E98,$F$6:$F$205,F98)&gt;1,"Duplicate cycle/instrument",IF(OR(B98="",C98="Check roster",C98="Site missing",D98="",E98="",F98="",G98="",G98="Needs verification",K98="",S98="",U98="",X98=""),"Missing core fields",IF(AND(OR(K98="Complete",K98="Received partial"),O98=""),"Missing completion date",IF(AND(U98="Verified submitted",OR(V98="",W98="",S98&lt;&gt;"Verified")),"Submission evidence gap",IF(AND(S98="Verified",T98=""),"Source evidence gap","Recorded")))))))</x:f>
      </x:c>
      <x:c r="AB98" s="9" t="str">
        <x:f>IF(A98="","",IF(OR(I98="",J98=""),"Undated",IF(AND(I98&gt;='Dashboard'!$B$6,I98&lt;='Dashboard'!$B$7),"In period","Outside period")))</x:f>
      </x:c>
      <x:c r="AC98" s="9" t="str">
        <x:f>IF(A98="","",IF(AND(OR(K98="Complete",K98="Received partial"),O98&lt;&gt;"",O98&lt;='Dashboard'!$B$4),1,0))</x:f>
      </x:c>
      <x:c r="AD98" s="9" t="str">
        <x:f>IF(A98="","",IF(AND(U98="Verified submitted",V98&lt;&gt;"",V98&lt;='Dashboard'!$B$4,W98&lt;&gt;"",S98="Verified",T98&lt;&gt;""),1,0))</x:f>
      </x:c>
      <x:c r="AE98" s="1"/>
      <x:c r="AF98" s="1"/>
      <x:c r="AG98" s="1"/>
      <x:c r="AH98" s="1"/>
    </x:row>
    <x:row r="99" ht="23" customHeight="1">
      <x:c r="A99" s="8"/>
      <x:c r="B99" s="8"/>
      <x:c r="C99" s="9" t="str">
        <x:f>IF(B99="","",IF(COUNTIFS('Roster'!$A$6:$A$205,B99)&lt;&gt;1,"Check roster",IF(INDEX('Roster'!$B$6:$B$205,MATCH(B99,'Roster'!$A$6:$A$205,0))="","Site missing",INDEX('Roster'!$B$6:$B$205,MATCH(B99,'Roster'!$A$6:$A$205,0)))))</x:f>
      </x:c>
      <x:c r="D99" s="6"/>
      <x:c r="E99" s="7"/>
      <x:c r="F99" s="6"/>
      <x:c r="G99" s="6"/>
      <x:c r="H99" s="6"/>
      <x:c r="I99" s="7"/>
      <x:c r="J99" s="6"/>
      <x:c r="K99" s="6"/>
      <x:c r="L99" s="7"/>
      <x:c r="M99" s="7"/>
      <x:c r="N99" s="7"/>
      <x:c r="O99" s="7"/>
      <x:c r="P99" s="7"/>
      <x:c r="Q99" s="6"/>
      <x:c r="R99" s="7"/>
      <x:c r="S99" s="6"/>
      <x:c r="T99" s="6"/>
      <x:c r="U99" s="6"/>
      <x:c r="V99" s="7"/>
      <x:c r="W99" s="6"/>
      <x:c r="X99" s="7"/>
      <x:c r="Y99" s="9" t="str">
        <x:f>IF(A99="","",IF(OR(K99="Complete",K99="Declined",K99="Closed without data"),"Collection closed",IF(OR(I99="",J99=""),"Date unverified",IF(I99&lt;'Dashboard'!$B$4,"Overdue",IF(I99&lt;='Dashboard'!$B$4+'Dashboard'!$B$5,"Due soon","Later")))))</x:f>
      </x:c>
      <x:c r="Z99" s="9" t="str">
        <x:f>IF(A99="","",IF(H99="","Unassigned",IF(AND(L99&lt;&gt;"",M99=""),"Awaiting acknowledgement",IF(AND(R99&lt;&gt;"",R99&lt;'Dashboard'!$B$4),"Action date passed",IF(AND(OR(K99="Not started",K99="In progress",K99="Awaiting return",K99="Received partial",K99="Unable to reach"),OR(Q99="",R99="")),"Next action missing","No handoff flag")))))</x:f>
      </x:c>
      <x:c r="AA99" s="9" t="str">
        <x:f>IF(A99="","",IF(COUNTIFS($A$6:$A$205,A99)&gt;1,"Duplicate task ID",IF(COUNTIFS($B$6:$B$205,B99,$D$6:$D$205,D99,$E$6:$E$205,E99,$F$6:$F$205,F99)&gt;1,"Duplicate cycle/instrument",IF(OR(B99="",C99="Check roster",C99="Site missing",D99="",E99="",F99="",G99="",G99="Needs verification",K99="",S99="",U99="",X99=""),"Missing core fields",IF(AND(OR(K99="Complete",K99="Received partial"),O99=""),"Missing completion date",IF(AND(U99="Verified submitted",OR(V99="",W99="",S99&lt;&gt;"Verified")),"Submission evidence gap",IF(AND(S99="Verified",T99=""),"Source evidence gap","Recorded")))))))</x:f>
      </x:c>
      <x:c r="AB99" s="9" t="str">
        <x:f>IF(A99="","",IF(OR(I99="",J99=""),"Undated",IF(AND(I99&gt;='Dashboard'!$B$6,I99&lt;='Dashboard'!$B$7),"In period","Outside period")))</x:f>
      </x:c>
      <x:c r="AC99" s="9" t="str">
        <x:f>IF(A99="","",IF(AND(OR(K99="Complete",K99="Received partial"),O99&lt;&gt;"",O99&lt;='Dashboard'!$B$4),1,0))</x:f>
      </x:c>
      <x:c r="AD99" s="9" t="str">
        <x:f>IF(A99="","",IF(AND(U99="Verified submitted",V99&lt;&gt;"",V99&lt;='Dashboard'!$B$4,W99&lt;&gt;"",S99="Verified",T99&lt;&gt;""),1,0))</x:f>
      </x:c>
      <x:c r="AE99" s="1"/>
      <x:c r="AF99" s="1"/>
      <x:c r="AG99" s="1"/>
      <x:c r="AH99" s="1"/>
    </x:row>
    <x:row r="100" ht="23" customHeight="1">
      <x:c r="A100" s="8"/>
      <x:c r="B100" s="8"/>
      <x:c r="C100" s="9" t="str">
        <x:f>IF(B100="","",IF(COUNTIFS('Roster'!$A$6:$A$205,B100)&lt;&gt;1,"Check roster",IF(INDEX('Roster'!$B$6:$B$205,MATCH(B100,'Roster'!$A$6:$A$205,0))="","Site missing",INDEX('Roster'!$B$6:$B$205,MATCH(B100,'Roster'!$A$6:$A$205,0)))))</x:f>
      </x:c>
      <x:c r="D100" s="6"/>
      <x:c r="E100" s="7"/>
      <x:c r="F100" s="6"/>
      <x:c r="G100" s="6"/>
      <x:c r="H100" s="6"/>
      <x:c r="I100" s="7"/>
      <x:c r="J100" s="6"/>
      <x:c r="K100" s="6"/>
      <x:c r="L100" s="7"/>
      <x:c r="M100" s="7"/>
      <x:c r="N100" s="7"/>
      <x:c r="O100" s="7"/>
      <x:c r="P100" s="7"/>
      <x:c r="Q100" s="6"/>
      <x:c r="R100" s="7"/>
      <x:c r="S100" s="6"/>
      <x:c r="T100" s="6"/>
      <x:c r="U100" s="6"/>
      <x:c r="V100" s="7"/>
      <x:c r="W100" s="6"/>
      <x:c r="X100" s="7"/>
      <x:c r="Y100" s="9" t="str">
        <x:f>IF(A100="","",IF(OR(K100="Complete",K100="Declined",K100="Closed without data"),"Collection closed",IF(OR(I100="",J100=""),"Date unverified",IF(I100&lt;'Dashboard'!$B$4,"Overdue",IF(I100&lt;='Dashboard'!$B$4+'Dashboard'!$B$5,"Due soon","Later")))))</x:f>
      </x:c>
      <x:c r="Z100" s="9" t="str">
        <x:f>IF(A100="","",IF(H100="","Unassigned",IF(AND(L100&lt;&gt;"",M100=""),"Awaiting acknowledgement",IF(AND(R100&lt;&gt;"",R100&lt;'Dashboard'!$B$4),"Action date passed",IF(AND(OR(K100="Not started",K100="In progress",K100="Awaiting return",K100="Received partial",K100="Unable to reach"),OR(Q100="",R100="")),"Next action missing","No handoff flag")))))</x:f>
      </x:c>
      <x:c r="AA100" s="9" t="str">
        <x:f>IF(A100="","",IF(COUNTIFS($A$6:$A$205,A100)&gt;1,"Duplicate task ID",IF(COUNTIFS($B$6:$B$205,B100,$D$6:$D$205,D100,$E$6:$E$205,E100,$F$6:$F$205,F100)&gt;1,"Duplicate cycle/instrument",IF(OR(B100="",C100="Check roster",C100="Site missing",D100="",E100="",F100="",G100="",G100="Needs verification",K100="",S100="",U100="",X100=""),"Missing core fields",IF(AND(OR(K100="Complete",K100="Received partial"),O100=""),"Missing completion date",IF(AND(U100="Verified submitted",OR(V100="",W100="",S100&lt;&gt;"Verified")),"Submission evidence gap",IF(AND(S100="Verified",T100=""),"Source evidence gap","Recorded")))))))</x:f>
      </x:c>
      <x:c r="AB100" s="9" t="str">
        <x:f>IF(A100="","",IF(OR(I100="",J100=""),"Undated",IF(AND(I100&gt;='Dashboard'!$B$6,I100&lt;='Dashboard'!$B$7),"In period","Outside period")))</x:f>
      </x:c>
      <x:c r="AC100" s="9" t="str">
        <x:f>IF(A100="","",IF(AND(OR(K100="Complete",K100="Received partial"),O100&lt;&gt;"",O100&lt;='Dashboard'!$B$4),1,0))</x:f>
      </x:c>
      <x:c r="AD100" s="9" t="str">
        <x:f>IF(A100="","",IF(AND(U100="Verified submitted",V100&lt;&gt;"",V100&lt;='Dashboard'!$B$4,W100&lt;&gt;"",S100="Verified",T100&lt;&gt;""),1,0))</x:f>
      </x:c>
      <x:c r="AE100" s="1"/>
      <x:c r="AF100" s="1"/>
      <x:c r="AG100" s="1"/>
      <x:c r="AH100" s="1"/>
    </x:row>
    <x:row r="101" ht="23" customHeight="1">
      <x:c r="A101" s="8"/>
      <x:c r="B101" s="8"/>
      <x:c r="C101" s="9" t="str">
        <x:f>IF(B101="","",IF(COUNTIFS('Roster'!$A$6:$A$205,B101)&lt;&gt;1,"Check roster",IF(INDEX('Roster'!$B$6:$B$205,MATCH(B101,'Roster'!$A$6:$A$205,0))="","Site missing",INDEX('Roster'!$B$6:$B$205,MATCH(B101,'Roster'!$A$6:$A$205,0)))))</x:f>
      </x:c>
      <x:c r="D101" s="6"/>
      <x:c r="E101" s="7"/>
      <x:c r="F101" s="6"/>
      <x:c r="G101" s="6"/>
      <x:c r="H101" s="6"/>
      <x:c r="I101" s="7"/>
      <x:c r="J101" s="6"/>
      <x:c r="K101" s="6"/>
      <x:c r="L101" s="7"/>
      <x:c r="M101" s="7"/>
      <x:c r="N101" s="7"/>
      <x:c r="O101" s="7"/>
      <x:c r="P101" s="7"/>
      <x:c r="Q101" s="6"/>
      <x:c r="R101" s="7"/>
      <x:c r="S101" s="6"/>
      <x:c r="T101" s="6"/>
      <x:c r="U101" s="6"/>
      <x:c r="V101" s="7"/>
      <x:c r="W101" s="6"/>
      <x:c r="X101" s="7"/>
      <x:c r="Y101" s="9" t="str">
        <x:f>IF(A101="","",IF(OR(K101="Complete",K101="Declined",K101="Closed without data"),"Collection closed",IF(OR(I101="",J101=""),"Date unverified",IF(I101&lt;'Dashboard'!$B$4,"Overdue",IF(I101&lt;='Dashboard'!$B$4+'Dashboard'!$B$5,"Due soon","Later")))))</x:f>
      </x:c>
      <x:c r="Z101" s="9" t="str">
        <x:f>IF(A101="","",IF(H101="","Unassigned",IF(AND(L101&lt;&gt;"",M101=""),"Awaiting acknowledgement",IF(AND(R101&lt;&gt;"",R101&lt;'Dashboard'!$B$4),"Action date passed",IF(AND(OR(K101="Not started",K101="In progress",K101="Awaiting return",K101="Received partial",K101="Unable to reach"),OR(Q101="",R101="")),"Next action missing","No handoff flag")))))</x:f>
      </x:c>
      <x:c r="AA101" s="9" t="str">
        <x:f>IF(A101="","",IF(COUNTIFS($A$6:$A$205,A101)&gt;1,"Duplicate task ID",IF(COUNTIFS($B$6:$B$205,B101,$D$6:$D$205,D101,$E$6:$E$205,E101,$F$6:$F$205,F101)&gt;1,"Duplicate cycle/instrument",IF(OR(B101="",C101="Check roster",C101="Site missing",D101="",E101="",F101="",G101="",G101="Needs verification",K101="",S101="",U101="",X101=""),"Missing core fields",IF(AND(OR(K101="Complete",K101="Received partial"),O101=""),"Missing completion date",IF(AND(U101="Verified submitted",OR(V101="",W101="",S101&lt;&gt;"Verified")),"Submission evidence gap",IF(AND(S101="Verified",T101=""),"Source evidence gap","Recorded")))))))</x:f>
      </x:c>
      <x:c r="AB101" s="9" t="str">
        <x:f>IF(A101="","",IF(OR(I101="",J101=""),"Undated",IF(AND(I101&gt;='Dashboard'!$B$6,I101&lt;='Dashboard'!$B$7),"In period","Outside period")))</x:f>
      </x:c>
      <x:c r="AC101" s="9" t="str">
        <x:f>IF(A101="","",IF(AND(OR(K101="Complete",K101="Received partial"),O101&lt;&gt;"",O101&lt;='Dashboard'!$B$4),1,0))</x:f>
      </x:c>
      <x:c r="AD101" s="9" t="str">
        <x:f>IF(A101="","",IF(AND(U101="Verified submitted",V101&lt;&gt;"",V101&lt;='Dashboard'!$B$4,W101&lt;&gt;"",S101="Verified",T101&lt;&gt;""),1,0))</x:f>
      </x:c>
      <x:c r="AE101" s="1"/>
      <x:c r="AF101" s="1"/>
      <x:c r="AG101" s="1"/>
      <x:c r="AH101" s="1"/>
    </x:row>
    <x:row r="102" ht="23" customHeight="1">
      <x:c r="A102" s="8"/>
      <x:c r="B102" s="8"/>
      <x:c r="C102" s="9" t="str">
        <x:f>IF(B102="","",IF(COUNTIFS('Roster'!$A$6:$A$205,B102)&lt;&gt;1,"Check roster",IF(INDEX('Roster'!$B$6:$B$205,MATCH(B102,'Roster'!$A$6:$A$205,0))="","Site missing",INDEX('Roster'!$B$6:$B$205,MATCH(B102,'Roster'!$A$6:$A$205,0)))))</x:f>
      </x:c>
      <x:c r="D102" s="6"/>
      <x:c r="E102" s="7"/>
      <x:c r="F102" s="6"/>
      <x:c r="G102" s="6"/>
      <x:c r="H102" s="6"/>
      <x:c r="I102" s="7"/>
      <x:c r="J102" s="6"/>
      <x:c r="K102" s="6"/>
      <x:c r="L102" s="7"/>
      <x:c r="M102" s="7"/>
      <x:c r="N102" s="7"/>
      <x:c r="O102" s="7"/>
      <x:c r="P102" s="7"/>
      <x:c r="Q102" s="6"/>
      <x:c r="R102" s="7"/>
      <x:c r="S102" s="6"/>
      <x:c r="T102" s="6"/>
      <x:c r="U102" s="6"/>
      <x:c r="V102" s="7"/>
      <x:c r="W102" s="6"/>
      <x:c r="X102" s="7"/>
      <x:c r="Y102" s="9" t="str">
        <x:f>IF(A102="","",IF(OR(K102="Complete",K102="Declined",K102="Closed without data"),"Collection closed",IF(OR(I102="",J102=""),"Date unverified",IF(I102&lt;'Dashboard'!$B$4,"Overdue",IF(I102&lt;='Dashboard'!$B$4+'Dashboard'!$B$5,"Due soon","Later")))))</x:f>
      </x:c>
      <x:c r="Z102" s="9" t="str">
        <x:f>IF(A102="","",IF(H102="","Unassigned",IF(AND(L102&lt;&gt;"",M102=""),"Awaiting acknowledgement",IF(AND(R102&lt;&gt;"",R102&lt;'Dashboard'!$B$4),"Action date passed",IF(AND(OR(K102="Not started",K102="In progress",K102="Awaiting return",K102="Received partial",K102="Unable to reach"),OR(Q102="",R102="")),"Next action missing","No handoff flag")))))</x:f>
      </x:c>
      <x:c r="AA102" s="9" t="str">
        <x:f>IF(A102="","",IF(COUNTIFS($A$6:$A$205,A102)&gt;1,"Duplicate task ID",IF(COUNTIFS($B$6:$B$205,B102,$D$6:$D$205,D102,$E$6:$E$205,E102,$F$6:$F$205,F102)&gt;1,"Duplicate cycle/instrument",IF(OR(B102="",C102="Check roster",C102="Site missing",D102="",E102="",F102="",G102="",G102="Needs verification",K102="",S102="",U102="",X102=""),"Missing core fields",IF(AND(OR(K102="Complete",K102="Received partial"),O102=""),"Missing completion date",IF(AND(U102="Verified submitted",OR(V102="",W102="",S102&lt;&gt;"Verified")),"Submission evidence gap",IF(AND(S102="Verified",T102=""),"Source evidence gap","Recorded")))))))</x:f>
      </x:c>
      <x:c r="AB102" s="9" t="str">
        <x:f>IF(A102="","",IF(OR(I102="",J102=""),"Undated",IF(AND(I102&gt;='Dashboard'!$B$6,I102&lt;='Dashboard'!$B$7),"In period","Outside period")))</x:f>
      </x:c>
      <x:c r="AC102" s="9" t="str">
        <x:f>IF(A102="","",IF(AND(OR(K102="Complete",K102="Received partial"),O102&lt;&gt;"",O102&lt;='Dashboard'!$B$4),1,0))</x:f>
      </x:c>
      <x:c r="AD102" s="9" t="str">
        <x:f>IF(A102="","",IF(AND(U102="Verified submitted",V102&lt;&gt;"",V102&lt;='Dashboard'!$B$4,W102&lt;&gt;"",S102="Verified",T102&lt;&gt;""),1,0))</x:f>
      </x:c>
      <x:c r="AE102" s="1"/>
      <x:c r="AF102" s="1"/>
      <x:c r="AG102" s="1"/>
      <x:c r="AH102" s="1"/>
    </x:row>
    <x:row r="103" ht="23" customHeight="1">
      <x:c r="A103" s="8"/>
      <x:c r="B103" s="8"/>
      <x:c r="C103" s="9" t="str">
        <x:f>IF(B103="","",IF(COUNTIFS('Roster'!$A$6:$A$205,B103)&lt;&gt;1,"Check roster",IF(INDEX('Roster'!$B$6:$B$205,MATCH(B103,'Roster'!$A$6:$A$205,0))="","Site missing",INDEX('Roster'!$B$6:$B$205,MATCH(B103,'Roster'!$A$6:$A$205,0)))))</x:f>
      </x:c>
      <x:c r="D103" s="6"/>
      <x:c r="E103" s="7"/>
      <x:c r="F103" s="6"/>
      <x:c r="G103" s="6"/>
      <x:c r="H103" s="6"/>
      <x:c r="I103" s="7"/>
      <x:c r="J103" s="6"/>
      <x:c r="K103" s="6"/>
      <x:c r="L103" s="7"/>
      <x:c r="M103" s="7"/>
      <x:c r="N103" s="7"/>
      <x:c r="O103" s="7"/>
      <x:c r="P103" s="7"/>
      <x:c r="Q103" s="6"/>
      <x:c r="R103" s="7"/>
      <x:c r="S103" s="6"/>
      <x:c r="T103" s="6"/>
      <x:c r="U103" s="6"/>
      <x:c r="V103" s="7"/>
      <x:c r="W103" s="6"/>
      <x:c r="X103" s="7"/>
      <x:c r="Y103" s="9" t="str">
        <x:f>IF(A103="","",IF(OR(K103="Complete",K103="Declined",K103="Closed without data"),"Collection closed",IF(OR(I103="",J103=""),"Date unverified",IF(I103&lt;'Dashboard'!$B$4,"Overdue",IF(I103&lt;='Dashboard'!$B$4+'Dashboard'!$B$5,"Due soon","Later")))))</x:f>
      </x:c>
      <x:c r="Z103" s="9" t="str">
        <x:f>IF(A103="","",IF(H103="","Unassigned",IF(AND(L103&lt;&gt;"",M103=""),"Awaiting acknowledgement",IF(AND(R103&lt;&gt;"",R103&lt;'Dashboard'!$B$4),"Action date passed",IF(AND(OR(K103="Not started",K103="In progress",K103="Awaiting return",K103="Received partial",K103="Unable to reach"),OR(Q103="",R103="")),"Next action missing","No handoff flag")))))</x:f>
      </x:c>
      <x:c r="AA103" s="9" t="str">
        <x:f>IF(A103="","",IF(COUNTIFS($A$6:$A$205,A103)&gt;1,"Duplicate task ID",IF(COUNTIFS($B$6:$B$205,B103,$D$6:$D$205,D103,$E$6:$E$205,E103,$F$6:$F$205,F103)&gt;1,"Duplicate cycle/instrument",IF(OR(B103="",C103="Check roster",C103="Site missing",D103="",E103="",F103="",G103="",G103="Needs verification",K103="",S103="",U103="",X103=""),"Missing core fields",IF(AND(OR(K103="Complete",K103="Received partial"),O103=""),"Missing completion date",IF(AND(U103="Verified submitted",OR(V103="",W103="",S103&lt;&gt;"Verified")),"Submission evidence gap",IF(AND(S103="Verified",T103=""),"Source evidence gap","Recorded")))))))</x:f>
      </x:c>
      <x:c r="AB103" s="9" t="str">
        <x:f>IF(A103="","",IF(OR(I103="",J103=""),"Undated",IF(AND(I103&gt;='Dashboard'!$B$6,I103&lt;='Dashboard'!$B$7),"In period","Outside period")))</x:f>
      </x:c>
      <x:c r="AC103" s="9" t="str">
        <x:f>IF(A103="","",IF(AND(OR(K103="Complete",K103="Received partial"),O103&lt;&gt;"",O103&lt;='Dashboard'!$B$4),1,0))</x:f>
      </x:c>
      <x:c r="AD103" s="9" t="str">
        <x:f>IF(A103="","",IF(AND(U103="Verified submitted",V103&lt;&gt;"",V103&lt;='Dashboard'!$B$4,W103&lt;&gt;"",S103="Verified",T103&lt;&gt;""),1,0))</x:f>
      </x:c>
      <x:c r="AE103" s="1"/>
      <x:c r="AF103" s="1"/>
      <x:c r="AG103" s="1"/>
      <x:c r="AH103" s="1"/>
    </x:row>
    <x:row r="104" ht="23" customHeight="1">
      <x:c r="A104" s="8"/>
      <x:c r="B104" s="8"/>
      <x:c r="C104" s="9" t="str">
        <x:f>IF(B104="","",IF(COUNTIFS('Roster'!$A$6:$A$205,B104)&lt;&gt;1,"Check roster",IF(INDEX('Roster'!$B$6:$B$205,MATCH(B104,'Roster'!$A$6:$A$205,0))="","Site missing",INDEX('Roster'!$B$6:$B$205,MATCH(B104,'Roster'!$A$6:$A$205,0)))))</x:f>
      </x:c>
      <x:c r="D104" s="6"/>
      <x:c r="E104" s="7"/>
      <x:c r="F104" s="6"/>
      <x:c r="G104" s="6"/>
      <x:c r="H104" s="6"/>
      <x:c r="I104" s="7"/>
      <x:c r="J104" s="6"/>
      <x:c r="K104" s="6"/>
      <x:c r="L104" s="7"/>
      <x:c r="M104" s="7"/>
      <x:c r="N104" s="7"/>
      <x:c r="O104" s="7"/>
      <x:c r="P104" s="7"/>
      <x:c r="Q104" s="6"/>
      <x:c r="R104" s="7"/>
      <x:c r="S104" s="6"/>
      <x:c r="T104" s="6"/>
      <x:c r="U104" s="6"/>
      <x:c r="V104" s="7"/>
      <x:c r="W104" s="6"/>
      <x:c r="X104" s="7"/>
      <x:c r="Y104" s="9" t="str">
        <x:f>IF(A104="","",IF(OR(K104="Complete",K104="Declined",K104="Closed without data"),"Collection closed",IF(OR(I104="",J104=""),"Date unverified",IF(I104&lt;'Dashboard'!$B$4,"Overdue",IF(I104&lt;='Dashboard'!$B$4+'Dashboard'!$B$5,"Due soon","Later")))))</x:f>
      </x:c>
      <x:c r="Z104" s="9" t="str">
        <x:f>IF(A104="","",IF(H104="","Unassigned",IF(AND(L104&lt;&gt;"",M104=""),"Awaiting acknowledgement",IF(AND(R104&lt;&gt;"",R104&lt;'Dashboard'!$B$4),"Action date passed",IF(AND(OR(K104="Not started",K104="In progress",K104="Awaiting return",K104="Received partial",K104="Unable to reach"),OR(Q104="",R104="")),"Next action missing","No handoff flag")))))</x:f>
      </x:c>
      <x:c r="AA104" s="9" t="str">
        <x:f>IF(A104="","",IF(COUNTIFS($A$6:$A$205,A104)&gt;1,"Duplicate task ID",IF(COUNTIFS($B$6:$B$205,B104,$D$6:$D$205,D104,$E$6:$E$205,E104,$F$6:$F$205,F104)&gt;1,"Duplicate cycle/instrument",IF(OR(B104="",C104="Check roster",C104="Site missing",D104="",E104="",F104="",G104="",G104="Needs verification",K104="",S104="",U104="",X104=""),"Missing core fields",IF(AND(OR(K104="Complete",K104="Received partial"),O104=""),"Missing completion date",IF(AND(U104="Verified submitted",OR(V104="",W104="",S104&lt;&gt;"Verified")),"Submission evidence gap",IF(AND(S104="Verified",T104=""),"Source evidence gap","Recorded")))))))</x:f>
      </x:c>
      <x:c r="AB104" s="9" t="str">
        <x:f>IF(A104="","",IF(OR(I104="",J104=""),"Undated",IF(AND(I104&gt;='Dashboard'!$B$6,I104&lt;='Dashboard'!$B$7),"In period","Outside period")))</x:f>
      </x:c>
      <x:c r="AC104" s="9" t="str">
        <x:f>IF(A104="","",IF(AND(OR(K104="Complete",K104="Received partial"),O104&lt;&gt;"",O104&lt;='Dashboard'!$B$4),1,0))</x:f>
      </x:c>
      <x:c r="AD104" s="9" t="str">
        <x:f>IF(A104="","",IF(AND(U104="Verified submitted",V104&lt;&gt;"",V104&lt;='Dashboard'!$B$4,W104&lt;&gt;"",S104="Verified",T104&lt;&gt;""),1,0))</x:f>
      </x:c>
      <x:c r="AE104" s="1"/>
      <x:c r="AF104" s="1"/>
      <x:c r="AG104" s="1"/>
      <x:c r="AH104" s="1"/>
    </x:row>
    <x:row r="105" ht="23" customHeight="1">
      <x:c r="A105" s="8"/>
      <x:c r="B105" s="8"/>
      <x:c r="C105" s="9" t="str">
        <x:f>IF(B105="","",IF(COUNTIFS('Roster'!$A$6:$A$205,B105)&lt;&gt;1,"Check roster",IF(INDEX('Roster'!$B$6:$B$205,MATCH(B105,'Roster'!$A$6:$A$205,0))="","Site missing",INDEX('Roster'!$B$6:$B$205,MATCH(B105,'Roster'!$A$6:$A$205,0)))))</x:f>
      </x:c>
      <x:c r="D105" s="6"/>
      <x:c r="E105" s="7"/>
      <x:c r="F105" s="6"/>
      <x:c r="G105" s="6"/>
      <x:c r="H105" s="6"/>
      <x:c r="I105" s="7"/>
      <x:c r="J105" s="6"/>
      <x:c r="K105" s="6"/>
      <x:c r="L105" s="7"/>
      <x:c r="M105" s="7"/>
      <x:c r="N105" s="7"/>
      <x:c r="O105" s="7"/>
      <x:c r="P105" s="7"/>
      <x:c r="Q105" s="6"/>
      <x:c r="R105" s="7"/>
      <x:c r="S105" s="6"/>
      <x:c r="T105" s="6"/>
      <x:c r="U105" s="6"/>
      <x:c r="V105" s="7"/>
      <x:c r="W105" s="6"/>
      <x:c r="X105" s="7"/>
      <x:c r="Y105" s="9" t="str">
        <x:f>IF(A105="","",IF(OR(K105="Complete",K105="Declined",K105="Closed without data"),"Collection closed",IF(OR(I105="",J105=""),"Date unverified",IF(I105&lt;'Dashboard'!$B$4,"Overdue",IF(I105&lt;='Dashboard'!$B$4+'Dashboard'!$B$5,"Due soon","Later")))))</x:f>
      </x:c>
      <x:c r="Z105" s="9" t="str">
        <x:f>IF(A105="","",IF(H105="","Unassigned",IF(AND(L105&lt;&gt;"",M105=""),"Awaiting acknowledgement",IF(AND(R105&lt;&gt;"",R105&lt;'Dashboard'!$B$4),"Action date passed",IF(AND(OR(K105="Not started",K105="In progress",K105="Awaiting return",K105="Received partial",K105="Unable to reach"),OR(Q105="",R105="")),"Next action missing","No handoff flag")))))</x:f>
      </x:c>
      <x:c r="AA105" s="9" t="str">
        <x:f>IF(A105="","",IF(COUNTIFS($A$6:$A$205,A105)&gt;1,"Duplicate task ID",IF(COUNTIFS($B$6:$B$205,B105,$D$6:$D$205,D105,$E$6:$E$205,E105,$F$6:$F$205,F105)&gt;1,"Duplicate cycle/instrument",IF(OR(B105="",C105="Check roster",C105="Site missing",D105="",E105="",F105="",G105="",G105="Needs verification",K105="",S105="",U105="",X105=""),"Missing core fields",IF(AND(OR(K105="Complete",K105="Received partial"),O105=""),"Missing completion date",IF(AND(U105="Verified submitted",OR(V105="",W105="",S105&lt;&gt;"Verified")),"Submission evidence gap",IF(AND(S105="Verified",T105=""),"Source evidence gap","Recorded")))))))</x:f>
      </x:c>
      <x:c r="AB105" s="9" t="str">
        <x:f>IF(A105="","",IF(OR(I105="",J105=""),"Undated",IF(AND(I105&gt;='Dashboard'!$B$6,I105&lt;='Dashboard'!$B$7),"In period","Outside period")))</x:f>
      </x:c>
      <x:c r="AC105" s="9" t="str">
        <x:f>IF(A105="","",IF(AND(OR(K105="Complete",K105="Received partial"),O105&lt;&gt;"",O105&lt;='Dashboard'!$B$4),1,0))</x:f>
      </x:c>
      <x:c r="AD105" s="9" t="str">
        <x:f>IF(A105="","",IF(AND(U105="Verified submitted",V105&lt;&gt;"",V105&lt;='Dashboard'!$B$4,W105&lt;&gt;"",S105="Verified",T105&lt;&gt;""),1,0))</x:f>
      </x:c>
      <x:c r="AE105" s="1"/>
      <x:c r="AF105" s="1"/>
      <x:c r="AG105" s="1"/>
      <x:c r="AH105" s="1"/>
    </x:row>
    <x:row r="106" ht="23" customHeight="1">
      <x:c r="A106" s="8"/>
      <x:c r="B106" s="8"/>
      <x:c r="C106" s="9" t="str">
        <x:f>IF(B106="","",IF(COUNTIFS('Roster'!$A$6:$A$205,B106)&lt;&gt;1,"Check roster",IF(INDEX('Roster'!$B$6:$B$205,MATCH(B106,'Roster'!$A$6:$A$205,0))="","Site missing",INDEX('Roster'!$B$6:$B$205,MATCH(B106,'Roster'!$A$6:$A$205,0)))))</x:f>
      </x:c>
      <x:c r="D106" s="6"/>
      <x:c r="E106" s="7"/>
      <x:c r="F106" s="6"/>
      <x:c r="G106" s="6"/>
      <x:c r="H106" s="6"/>
      <x:c r="I106" s="7"/>
      <x:c r="J106" s="6"/>
      <x:c r="K106" s="6"/>
      <x:c r="L106" s="7"/>
      <x:c r="M106" s="7"/>
      <x:c r="N106" s="7"/>
      <x:c r="O106" s="7"/>
      <x:c r="P106" s="7"/>
      <x:c r="Q106" s="6"/>
      <x:c r="R106" s="7"/>
      <x:c r="S106" s="6"/>
      <x:c r="T106" s="6"/>
      <x:c r="U106" s="6"/>
      <x:c r="V106" s="7"/>
      <x:c r="W106" s="6"/>
      <x:c r="X106" s="7"/>
      <x:c r="Y106" s="9" t="str">
        <x:f>IF(A106="","",IF(OR(K106="Complete",K106="Declined",K106="Closed without data"),"Collection closed",IF(OR(I106="",J106=""),"Date unverified",IF(I106&lt;'Dashboard'!$B$4,"Overdue",IF(I106&lt;='Dashboard'!$B$4+'Dashboard'!$B$5,"Due soon","Later")))))</x:f>
      </x:c>
      <x:c r="Z106" s="9" t="str">
        <x:f>IF(A106="","",IF(H106="","Unassigned",IF(AND(L106&lt;&gt;"",M106=""),"Awaiting acknowledgement",IF(AND(R106&lt;&gt;"",R106&lt;'Dashboard'!$B$4),"Action date passed",IF(AND(OR(K106="Not started",K106="In progress",K106="Awaiting return",K106="Received partial",K106="Unable to reach"),OR(Q106="",R106="")),"Next action missing","No handoff flag")))))</x:f>
      </x:c>
      <x:c r="AA106" s="9" t="str">
        <x:f>IF(A106="","",IF(COUNTIFS($A$6:$A$205,A106)&gt;1,"Duplicate task ID",IF(COUNTIFS($B$6:$B$205,B106,$D$6:$D$205,D106,$E$6:$E$205,E106,$F$6:$F$205,F106)&gt;1,"Duplicate cycle/instrument",IF(OR(B106="",C106="Check roster",C106="Site missing",D106="",E106="",F106="",G106="",G106="Needs verification",K106="",S106="",U106="",X106=""),"Missing core fields",IF(AND(OR(K106="Complete",K106="Received partial"),O106=""),"Missing completion date",IF(AND(U106="Verified submitted",OR(V106="",W106="",S106&lt;&gt;"Verified")),"Submission evidence gap",IF(AND(S106="Verified",T106=""),"Source evidence gap","Recorded")))))))</x:f>
      </x:c>
      <x:c r="AB106" s="9" t="str">
        <x:f>IF(A106="","",IF(OR(I106="",J106=""),"Undated",IF(AND(I106&gt;='Dashboard'!$B$6,I106&lt;='Dashboard'!$B$7),"In period","Outside period")))</x:f>
      </x:c>
      <x:c r="AC106" s="9" t="str">
        <x:f>IF(A106="","",IF(AND(OR(K106="Complete",K106="Received partial"),O106&lt;&gt;"",O106&lt;='Dashboard'!$B$4),1,0))</x:f>
      </x:c>
      <x:c r="AD106" s="9" t="str">
        <x:f>IF(A106="","",IF(AND(U106="Verified submitted",V106&lt;&gt;"",V106&lt;='Dashboard'!$B$4,W106&lt;&gt;"",S106="Verified",T106&lt;&gt;""),1,0))</x:f>
      </x:c>
      <x:c r="AE106" s="1"/>
      <x:c r="AF106" s="1"/>
      <x:c r="AG106" s="1"/>
      <x:c r="AH106" s="1"/>
    </x:row>
    <x:row r="107" ht="23" customHeight="1">
      <x:c r="A107" s="8"/>
      <x:c r="B107" s="8"/>
      <x:c r="C107" s="9" t="str">
        <x:f>IF(B107="","",IF(COUNTIFS('Roster'!$A$6:$A$205,B107)&lt;&gt;1,"Check roster",IF(INDEX('Roster'!$B$6:$B$205,MATCH(B107,'Roster'!$A$6:$A$205,0))="","Site missing",INDEX('Roster'!$B$6:$B$205,MATCH(B107,'Roster'!$A$6:$A$205,0)))))</x:f>
      </x:c>
      <x:c r="D107" s="6"/>
      <x:c r="E107" s="7"/>
      <x:c r="F107" s="6"/>
      <x:c r="G107" s="6"/>
      <x:c r="H107" s="6"/>
      <x:c r="I107" s="7"/>
      <x:c r="J107" s="6"/>
      <x:c r="K107" s="6"/>
      <x:c r="L107" s="7"/>
      <x:c r="M107" s="7"/>
      <x:c r="N107" s="7"/>
      <x:c r="O107" s="7"/>
      <x:c r="P107" s="7"/>
      <x:c r="Q107" s="6"/>
      <x:c r="R107" s="7"/>
      <x:c r="S107" s="6"/>
      <x:c r="T107" s="6"/>
      <x:c r="U107" s="6"/>
      <x:c r="V107" s="7"/>
      <x:c r="W107" s="6"/>
      <x:c r="X107" s="7"/>
      <x:c r="Y107" s="9" t="str">
        <x:f>IF(A107="","",IF(OR(K107="Complete",K107="Declined",K107="Closed without data"),"Collection closed",IF(OR(I107="",J107=""),"Date unverified",IF(I107&lt;'Dashboard'!$B$4,"Overdue",IF(I107&lt;='Dashboard'!$B$4+'Dashboard'!$B$5,"Due soon","Later")))))</x:f>
      </x:c>
      <x:c r="Z107" s="9" t="str">
        <x:f>IF(A107="","",IF(H107="","Unassigned",IF(AND(L107&lt;&gt;"",M107=""),"Awaiting acknowledgement",IF(AND(R107&lt;&gt;"",R107&lt;'Dashboard'!$B$4),"Action date passed",IF(AND(OR(K107="Not started",K107="In progress",K107="Awaiting return",K107="Received partial",K107="Unable to reach"),OR(Q107="",R107="")),"Next action missing","No handoff flag")))))</x:f>
      </x:c>
      <x:c r="AA107" s="9" t="str">
        <x:f>IF(A107="","",IF(COUNTIFS($A$6:$A$205,A107)&gt;1,"Duplicate task ID",IF(COUNTIFS($B$6:$B$205,B107,$D$6:$D$205,D107,$E$6:$E$205,E107,$F$6:$F$205,F107)&gt;1,"Duplicate cycle/instrument",IF(OR(B107="",C107="Check roster",C107="Site missing",D107="",E107="",F107="",G107="",G107="Needs verification",K107="",S107="",U107="",X107=""),"Missing core fields",IF(AND(OR(K107="Complete",K107="Received partial"),O107=""),"Missing completion date",IF(AND(U107="Verified submitted",OR(V107="",W107="",S107&lt;&gt;"Verified")),"Submission evidence gap",IF(AND(S107="Verified",T107=""),"Source evidence gap","Recorded")))))))</x:f>
      </x:c>
      <x:c r="AB107" s="9" t="str">
        <x:f>IF(A107="","",IF(OR(I107="",J107=""),"Undated",IF(AND(I107&gt;='Dashboard'!$B$6,I107&lt;='Dashboard'!$B$7),"In period","Outside period")))</x:f>
      </x:c>
      <x:c r="AC107" s="9" t="str">
        <x:f>IF(A107="","",IF(AND(OR(K107="Complete",K107="Received partial"),O107&lt;&gt;"",O107&lt;='Dashboard'!$B$4),1,0))</x:f>
      </x:c>
      <x:c r="AD107" s="9" t="str">
        <x:f>IF(A107="","",IF(AND(U107="Verified submitted",V107&lt;&gt;"",V107&lt;='Dashboard'!$B$4,W107&lt;&gt;"",S107="Verified",T107&lt;&gt;""),1,0))</x:f>
      </x:c>
      <x:c r="AE107" s="1"/>
      <x:c r="AF107" s="1"/>
      <x:c r="AG107" s="1"/>
      <x:c r="AH107" s="1"/>
    </x:row>
    <x:row r="108" ht="23" customHeight="1">
      <x:c r="A108" s="8"/>
      <x:c r="B108" s="8"/>
      <x:c r="C108" s="9" t="str">
        <x:f>IF(B108="","",IF(COUNTIFS('Roster'!$A$6:$A$205,B108)&lt;&gt;1,"Check roster",IF(INDEX('Roster'!$B$6:$B$205,MATCH(B108,'Roster'!$A$6:$A$205,0))="","Site missing",INDEX('Roster'!$B$6:$B$205,MATCH(B108,'Roster'!$A$6:$A$205,0)))))</x:f>
      </x:c>
      <x:c r="D108" s="6"/>
      <x:c r="E108" s="7"/>
      <x:c r="F108" s="6"/>
      <x:c r="G108" s="6"/>
      <x:c r="H108" s="6"/>
      <x:c r="I108" s="7"/>
      <x:c r="J108" s="6"/>
      <x:c r="K108" s="6"/>
      <x:c r="L108" s="7"/>
      <x:c r="M108" s="7"/>
      <x:c r="N108" s="7"/>
      <x:c r="O108" s="7"/>
      <x:c r="P108" s="7"/>
      <x:c r="Q108" s="6"/>
      <x:c r="R108" s="7"/>
      <x:c r="S108" s="6"/>
      <x:c r="T108" s="6"/>
      <x:c r="U108" s="6"/>
      <x:c r="V108" s="7"/>
      <x:c r="W108" s="6"/>
      <x:c r="X108" s="7"/>
      <x:c r="Y108" s="9" t="str">
        <x:f>IF(A108="","",IF(OR(K108="Complete",K108="Declined",K108="Closed without data"),"Collection closed",IF(OR(I108="",J108=""),"Date unverified",IF(I108&lt;'Dashboard'!$B$4,"Overdue",IF(I108&lt;='Dashboard'!$B$4+'Dashboard'!$B$5,"Due soon","Later")))))</x:f>
      </x:c>
      <x:c r="Z108" s="9" t="str">
        <x:f>IF(A108="","",IF(H108="","Unassigned",IF(AND(L108&lt;&gt;"",M108=""),"Awaiting acknowledgement",IF(AND(R108&lt;&gt;"",R108&lt;'Dashboard'!$B$4),"Action date passed",IF(AND(OR(K108="Not started",K108="In progress",K108="Awaiting return",K108="Received partial",K108="Unable to reach"),OR(Q108="",R108="")),"Next action missing","No handoff flag")))))</x:f>
      </x:c>
      <x:c r="AA108" s="9" t="str">
        <x:f>IF(A108="","",IF(COUNTIFS($A$6:$A$205,A108)&gt;1,"Duplicate task ID",IF(COUNTIFS($B$6:$B$205,B108,$D$6:$D$205,D108,$E$6:$E$205,E108,$F$6:$F$205,F108)&gt;1,"Duplicate cycle/instrument",IF(OR(B108="",C108="Check roster",C108="Site missing",D108="",E108="",F108="",G108="",G108="Needs verification",K108="",S108="",U108="",X108=""),"Missing core fields",IF(AND(OR(K108="Complete",K108="Received partial"),O108=""),"Missing completion date",IF(AND(U108="Verified submitted",OR(V108="",W108="",S108&lt;&gt;"Verified")),"Submission evidence gap",IF(AND(S108="Verified",T108=""),"Source evidence gap","Recorded")))))))</x:f>
      </x:c>
      <x:c r="AB108" s="9" t="str">
        <x:f>IF(A108="","",IF(OR(I108="",J108=""),"Undated",IF(AND(I108&gt;='Dashboard'!$B$6,I108&lt;='Dashboard'!$B$7),"In period","Outside period")))</x:f>
      </x:c>
      <x:c r="AC108" s="9" t="str">
        <x:f>IF(A108="","",IF(AND(OR(K108="Complete",K108="Received partial"),O108&lt;&gt;"",O108&lt;='Dashboard'!$B$4),1,0))</x:f>
      </x:c>
      <x:c r="AD108" s="9" t="str">
        <x:f>IF(A108="","",IF(AND(U108="Verified submitted",V108&lt;&gt;"",V108&lt;='Dashboard'!$B$4,W108&lt;&gt;"",S108="Verified",T108&lt;&gt;""),1,0))</x:f>
      </x:c>
      <x:c r="AE108" s="1"/>
      <x:c r="AF108" s="1"/>
      <x:c r="AG108" s="1"/>
      <x:c r="AH108" s="1"/>
    </x:row>
    <x:row r="109" ht="23" customHeight="1">
      <x:c r="A109" s="8"/>
      <x:c r="B109" s="8"/>
      <x:c r="C109" s="9" t="str">
        <x:f>IF(B109="","",IF(COUNTIFS('Roster'!$A$6:$A$205,B109)&lt;&gt;1,"Check roster",IF(INDEX('Roster'!$B$6:$B$205,MATCH(B109,'Roster'!$A$6:$A$205,0))="","Site missing",INDEX('Roster'!$B$6:$B$205,MATCH(B109,'Roster'!$A$6:$A$205,0)))))</x:f>
      </x:c>
      <x:c r="D109" s="6"/>
      <x:c r="E109" s="7"/>
      <x:c r="F109" s="6"/>
      <x:c r="G109" s="6"/>
      <x:c r="H109" s="6"/>
      <x:c r="I109" s="7"/>
      <x:c r="J109" s="6"/>
      <x:c r="K109" s="6"/>
      <x:c r="L109" s="7"/>
      <x:c r="M109" s="7"/>
      <x:c r="N109" s="7"/>
      <x:c r="O109" s="7"/>
      <x:c r="P109" s="7"/>
      <x:c r="Q109" s="6"/>
      <x:c r="R109" s="7"/>
      <x:c r="S109" s="6"/>
      <x:c r="T109" s="6"/>
      <x:c r="U109" s="6"/>
      <x:c r="V109" s="7"/>
      <x:c r="W109" s="6"/>
      <x:c r="X109" s="7"/>
      <x:c r="Y109" s="9" t="str">
        <x:f>IF(A109="","",IF(OR(K109="Complete",K109="Declined",K109="Closed without data"),"Collection closed",IF(OR(I109="",J109=""),"Date unverified",IF(I109&lt;'Dashboard'!$B$4,"Overdue",IF(I109&lt;='Dashboard'!$B$4+'Dashboard'!$B$5,"Due soon","Later")))))</x:f>
      </x:c>
      <x:c r="Z109" s="9" t="str">
        <x:f>IF(A109="","",IF(H109="","Unassigned",IF(AND(L109&lt;&gt;"",M109=""),"Awaiting acknowledgement",IF(AND(R109&lt;&gt;"",R109&lt;'Dashboard'!$B$4),"Action date passed",IF(AND(OR(K109="Not started",K109="In progress",K109="Awaiting return",K109="Received partial",K109="Unable to reach"),OR(Q109="",R109="")),"Next action missing","No handoff flag")))))</x:f>
      </x:c>
      <x:c r="AA109" s="9" t="str">
        <x:f>IF(A109="","",IF(COUNTIFS($A$6:$A$205,A109)&gt;1,"Duplicate task ID",IF(COUNTIFS($B$6:$B$205,B109,$D$6:$D$205,D109,$E$6:$E$205,E109,$F$6:$F$205,F109)&gt;1,"Duplicate cycle/instrument",IF(OR(B109="",C109="Check roster",C109="Site missing",D109="",E109="",F109="",G109="",G109="Needs verification",K109="",S109="",U109="",X109=""),"Missing core fields",IF(AND(OR(K109="Complete",K109="Received partial"),O109=""),"Missing completion date",IF(AND(U109="Verified submitted",OR(V109="",W109="",S109&lt;&gt;"Verified")),"Submission evidence gap",IF(AND(S109="Verified",T109=""),"Source evidence gap","Recorded")))))))</x:f>
      </x:c>
      <x:c r="AB109" s="9" t="str">
        <x:f>IF(A109="","",IF(OR(I109="",J109=""),"Undated",IF(AND(I109&gt;='Dashboard'!$B$6,I109&lt;='Dashboard'!$B$7),"In period","Outside period")))</x:f>
      </x:c>
      <x:c r="AC109" s="9" t="str">
        <x:f>IF(A109="","",IF(AND(OR(K109="Complete",K109="Received partial"),O109&lt;&gt;"",O109&lt;='Dashboard'!$B$4),1,0))</x:f>
      </x:c>
      <x:c r="AD109" s="9" t="str">
        <x:f>IF(A109="","",IF(AND(U109="Verified submitted",V109&lt;&gt;"",V109&lt;='Dashboard'!$B$4,W109&lt;&gt;"",S109="Verified",T109&lt;&gt;""),1,0))</x:f>
      </x:c>
      <x:c r="AE109" s="1"/>
      <x:c r="AF109" s="1"/>
      <x:c r="AG109" s="1"/>
      <x:c r="AH109" s="1"/>
    </x:row>
    <x:row r="110" ht="23" customHeight="1">
      <x:c r="A110" s="8"/>
      <x:c r="B110" s="8"/>
      <x:c r="C110" s="9" t="str">
        <x:f>IF(B110="","",IF(COUNTIFS('Roster'!$A$6:$A$205,B110)&lt;&gt;1,"Check roster",IF(INDEX('Roster'!$B$6:$B$205,MATCH(B110,'Roster'!$A$6:$A$205,0))="","Site missing",INDEX('Roster'!$B$6:$B$205,MATCH(B110,'Roster'!$A$6:$A$205,0)))))</x:f>
      </x:c>
      <x:c r="D110" s="6"/>
      <x:c r="E110" s="7"/>
      <x:c r="F110" s="6"/>
      <x:c r="G110" s="6"/>
      <x:c r="H110" s="6"/>
      <x:c r="I110" s="7"/>
      <x:c r="J110" s="6"/>
      <x:c r="K110" s="6"/>
      <x:c r="L110" s="7"/>
      <x:c r="M110" s="7"/>
      <x:c r="N110" s="7"/>
      <x:c r="O110" s="7"/>
      <x:c r="P110" s="7"/>
      <x:c r="Q110" s="6"/>
      <x:c r="R110" s="7"/>
      <x:c r="S110" s="6"/>
      <x:c r="T110" s="6"/>
      <x:c r="U110" s="6"/>
      <x:c r="V110" s="7"/>
      <x:c r="W110" s="6"/>
      <x:c r="X110" s="7"/>
      <x:c r="Y110" s="9" t="str">
        <x:f>IF(A110="","",IF(OR(K110="Complete",K110="Declined",K110="Closed without data"),"Collection closed",IF(OR(I110="",J110=""),"Date unverified",IF(I110&lt;'Dashboard'!$B$4,"Overdue",IF(I110&lt;='Dashboard'!$B$4+'Dashboard'!$B$5,"Due soon","Later")))))</x:f>
      </x:c>
      <x:c r="Z110" s="9" t="str">
        <x:f>IF(A110="","",IF(H110="","Unassigned",IF(AND(L110&lt;&gt;"",M110=""),"Awaiting acknowledgement",IF(AND(R110&lt;&gt;"",R110&lt;'Dashboard'!$B$4),"Action date passed",IF(AND(OR(K110="Not started",K110="In progress",K110="Awaiting return",K110="Received partial",K110="Unable to reach"),OR(Q110="",R110="")),"Next action missing","No handoff flag")))))</x:f>
      </x:c>
      <x:c r="AA110" s="9" t="str">
        <x:f>IF(A110="","",IF(COUNTIFS($A$6:$A$205,A110)&gt;1,"Duplicate task ID",IF(COUNTIFS($B$6:$B$205,B110,$D$6:$D$205,D110,$E$6:$E$205,E110,$F$6:$F$205,F110)&gt;1,"Duplicate cycle/instrument",IF(OR(B110="",C110="Check roster",C110="Site missing",D110="",E110="",F110="",G110="",G110="Needs verification",K110="",S110="",U110="",X110=""),"Missing core fields",IF(AND(OR(K110="Complete",K110="Received partial"),O110=""),"Missing completion date",IF(AND(U110="Verified submitted",OR(V110="",W110="",S110&lt;&gt;"Verified")),"Submission evidence gap",IF(AND(S110="Verified",T110=""),"Source evidence gap","Recorded")))))))</x:f>
      </x:c>
      <x:c r="AB110" s="9" t="str">
        <x:f>IF(A110="","",IF(OR(I110="",J110=""),"Undated",IF(AND(I110&gt;='Dashboard'!$B$6,I110&lt;='Dashboard'!$B$7),"In period","Outside period")))</x:f>
      </x:c>
      <x:c r="AC110" s="9" t="str">
        <x:f>IF(A110="","",IF(AND(OR(K110="Complete",K110="Received partial"),O110&lt;&gt;"",O110&lt;='Dashboard'!$B$4),1,0))</x:f>
      </x:c>
      <x:c r="AD110" s="9" t="str">
        <x:f>IF(A110="","",IF(AND(U110="Verified submitted",V110&lt;&gt;"",V110&lt;='Dashboard'!$B$4,W110&lt;&gt;"",S110="Verified",T110&lt;&gt;""),1,0))</x:f>
      </x:c>
      <x:c r="AE110" s="1"/>
      <x:c r="AF110" s="1"/>
      <x:c r="AG110" s="1"/>
      <x:c r="AH110" s="1"/>
    </x:row>
    <x:row r="111" ht="23" customHeight="1">
      <x:c r="A111" s="8"/>
      <x:c r="B111" s="8"/>
      <x:c r="C111" s="9" t="str">
        <x:f>IF(B111="","",IF(COUNTIFS('Roster'!$A$6:$A$205,B111)&lt;&gt;1,"Check roster",IF(INDEX('Roster'!$B$6:$B$205,MATCH(B111,'Roster'!$A$6:$A$205,0))="","Site missing",INDEX('Roster'!$B$6:$B$205,MATCH(B111,'Roster'!$A$6:$A$205,0)))))</x:f>
      </x:c>
      <x:c r="D111" s="6"/>
      <x:c r="E111" s="7"/>
      <x:c r="F111" s="6"/>
      <x:c r="G111" s="6"/>
      <x:c r="H111" s="6"/>
      <x:c r="I111" s="7"/>
      <x:c r="J111" s="6"/>
      <x:c r="K111" s="6"/>
      <x:c r="L111" s="7"/>
      <x:c r="M111" s="7"/>
      <x:c r="N111" s="7"/>
      <x:c r="O111" s="7"/>
      <x:c r="P111" s="7"/>
      <x:c r="Q111" s="6"/>
      <x:c r="R111" s="7"/>
      <x:c r="S111" s="6"/>
      <x:c r="T111" s="6"/>
      <x:c r="U111" s="6"/>
      <x:c r="V111" s="7"/>
      <x:c r="W111" s="6"/>
      <x:c r="X111" s="7"/>
      <x:c r="Y111" s="9" t="str">
        <x:f>IF(A111="","",IF(OR(K111="Complete",K111="Declined",K111="Closed without data"),"Collection closed",IF(OR(I111="",J111=""),"Date unverified",IF(I111&lt;'Dashboard'!$B$4,"Overdue",IF(I111&lt;='Dashboard'!$B$4+'Dashboard'!$B$5,"Due soon","Later")))))</x:f>
      </x:c>
      <x:c r="Z111" s="9" t="str">
        <x:f>IF(A111="","",IF(H111="","Unassigned",IF(AND(L111&lt;&gt;"",M111=""),"Awaiting acknowledgement",IF(AND(R111&lt;&gt;"",R111&lt;'Dashboard'!$B$4),"Action date passed",IF(AND(OR(K111="Not started",K111="In progress",K111="Awaiting return",K111="Received partial",K111="Unable to reach"),OR(Q111="",R111="")),"Next action missing","No handoff flag")))))</x:f>
      </x:c>
      <x:c r="AA111" s="9" t="str">
        <x:f>IF(A111="","",IF(COUNTIFS($A$6:$A$205,A111)&gt;1,"Duplicate task ID",IF(COUNTIFS($B$6:$B$205,B111,$D$6:$D$205,D111,$E$6:$E$205,E111,$F$6:$F$205,F111)&gt;1,"Duplicate cycle/instrument",IF(OR(B111="",C111="Check roster",C111="Site missing",D111="",E111="",F111="",G111="",G111="Needs verification",K111="",S111="",U111="",X111=""),"Missing core fields",IF(AND(OR(K111="Complete",K111="Received partial"),O111=""),"Missing completion date",IF(AND(U111="Verified submitted",OR(V111="",W111="",S111&lt;&gt;"Verified")),"Submission evidence gap",IF(AND(S111="Verified",T111=""),"Source evidence gap","Recorded")))))))</x:f>
      </x:c>
      <x:c r="AB111" s="9" t="str">
        <x:f>IF(A111="","",IF(OR(I111="",J111=""),"Undated",IF(AND(I111&gt;='Dashboard'!$B$6,I111&lt;='Dashboard'!$B$7),"In period","Outside period")))</x:f>
      </x:c>
      <x:c r="AC111" s="9" t="str">
        <x:f>IF(A111="","",IF(AND(OR(K111="Complete",K111="Received partial"),O111&lt;&gt;"",O111&lt;='Dashboard'!$B$4),1,0))</x:f>
      </x:c>
      <x:c r="AD111" s="9" t="str">
        <x:f>IF(A111="","",IF(AND(U111="Verified submitted",V111&lt;&gt;"",V111&lt;='Dashboard'!$B$4,W111&lt;&gt;"",S111="Verified",T111&lt;&gt;""),1,0))</x:f>
      </x:c>
      <x:c r="AE111" s="1"/>
      <x:c r="AF111" s="1"/>
      <x:c r="AG111" s="1"/>
      <x:c r="AH111" s="1"/>
    </x:row>
    <x:row r="112" ht="23" customHeight="1">
      <x:c r="A112" s="8"/>
      <x:c r="B112" s="8"/>
      <x:c r="C112" s="9" t="str">
        <x:f>IF(B112="","",IF(COUNTIFS('Roster'!$A$6:$A$205,B112)&lt;&gt;1,"Check roster",IF(INDEX('Roster'!$B$6:$B$205,MATCH(B112,'Roster'!$A$6:$A$205,0))="","Site missing",INDEX('Roster'!$B$6:$B$205,MATCH(B112,'Roster'!$A$6:$A$205,0)))))</x:f>
      </x:c>
      <x:c r="D112" s="6"/>
      <x:c r="E112" s="7"/>
      <x:c r="F112" s="6"/>
      <x:c r="G112" s="6"/>
      <x:c r="H112" s="6"/>
      <x:c r="I112" s="7"/>
      <x:c r="J112" s="6"/>
      <x:c r="K112" s="6"/>
      <x:c r="L112" s="7"/>
      <x:c r="M112" s="7"/>
      <x:c r="N112" s="7"/>
      <x:c r="O112" s="7"/>
      <x:c r="P112" s="7"/>
      <x:c r="Q112" s="6"/>
      <x:c r="R112" s="7"/>
      <x:c r="S112" s="6"/>
      <x:c r="T112" s="6"/>
      <x:c r="U112" s="6"/>
      <x:c r="V112" s="7"/>
      <x:c r="W112" s="6"/>
      <x:c r="X112" s="7"/>
      <x:c r="Y112" s="9" t="str">
        <x:f>IF(A112="","",IF(OR(K112="Complete",K112="Declined",K112="Closed without data"),"Collection closed",IF(OR(I112="",J112=""),"Date unverified",IF(I112&lt;'Dashboard'!$B$4,"Overdue",IF(I112&lt;='Dashboard'!$B$4+'Dashboard'!$B$5,"Due soon","Later")))))</x:f>
      </x:c>
      <x:c r="Z112" s="9" t="str">
        <x:f>IF(A112="","",IF(H112="","Unassigned",IF(AND(L112&lt;&gt;"",M112=""),"Awaiting acknowledgement",IF(AND(R112&lt;&gt;"",R112&lt;'Dashboard'!$B$4),"Action date passed",IF(AND(OR(K112="Not started",K112="In progress",K112="Awaiting return",K112="Received partial",K112="Unable to reach"),OR(Q112="",R112="")),"Next action missing","No handoff flag")))))</x:f>
      </x:c>
      <x:c r="AA112" s="9" t="str">
        <x:f>IF(A112="","",IF(COUNTIFS($A$6:$A$205,A112)&gt;1,"Duplicate task ID",IF(COUNTIFS($B$6:$B$205,B112,$D$6:$D$205,D112,$E$6:$E$205,E112,$F$6:$F$205,F112)&gt;1,"Duplicate cycle/instrument",IF(OR(B112="",C112="Check roster",C112="Site missing",D112="",E112="",F112="",G112="",G112="Needs verification",K112="",S112="",U112="",X112=""),"Missing core fields",IF(AND(OR(K112="Complete",K112="Received partial"),O112=""),"Missing completion date",IF(AND(U112="Verified submitted",OR(V112="",W112="",S112&lt;&gt;"Verified")),"Submission evidence gap",IF(AND(S112="Verified",T112=""),"Source evidence gap","Recorded")))))))</x:f>
      </x:c>
      <x:c r="AB112" s="9" t="str">
        <x:f>IF(A112="","",IF(OR(I112="",J112=""),"Undated",IF(AND(I112&gt;='Dashboard'!$B$6,I112&lt;='Dashboard'!$B$7),"In period","Outside period")))</x:f>
      </x:c>
      <x:c r="AC112" s="9" t="str">
        <x:f>IF(A112="","",IF(AND(OR(K112="Complete",K112="Received partial"),O112&lt;&gt;"",O112&lt;='Dashboard'!$B$4),1,0))</x:f>
      </x:c>
      <x:c r="AD112" s="9" t="str">
        <x:f>IF(A112="","",IF(AND(U112="Verified submitted",V112&lt;&gt;"",V112&lt;='Dashboard'!$B$4,W112&lt;&gt;"",S112="Verified",T112&lt;&gt;""),1,0))</x:f>
      </x:c>
      <x:c r="AE112" s="1"/>
      <x:c r="AF112" s="1"/>
      <x:c r="AG112" s="1"/>
      <x:c r="AH112" s="1"/>
    </x:row>
    <x:row r="113" ht="23" customHeight="1">
      <x:c r="A113" s="8"/>
      <x:c r="B113" s="8"/>
      <x:c r="C113" s="9" t="str">
        <x:f>IF(B113="","",IF(COUNTIFS('Roster'!$A$6:$A$205,B113)&lt;&gt;1,"Check roster",IF(INDEX('Roster'!$B$6:$B$205,MATCH(B113,'Roster'!$A$6:$A$205,0))="","Site missing",INDEX('Roster'!$B$6:$B$205,MATCH(B113,'Roster'!$A$6:$A$205,0)))))</x:f>
      </x:c>
      <x:c r="D113" s="6"/>
      <x:c r="E113" s="7"/>
      <x:c r="F113" s="6"/>
      <x:c r="G113" s="6"/>
      <x:c r="H113" s="6"/>
      <x:c r="I113" s="7"/>
      <x:c r="J113" s="6"/>
      <x:c r="K113" s="6"/>
      <x:c r="L113" s="7"/>
      <x:c r="M113" s="7"/>
      <x:c r="N113" s="7"/>
      <x:c r="O113" s="7"/>
      <x:c r="P113" s="7"/>
      <x:c r="Q113" s="6"/>
      <x:c r="R113" s="7"/>
      <x:c r="S113" s="6"/>
      <x:c r="T113" s="6"/>
      <x:c r="U113" s="6"/>
      <x:c r="V113" s="7"/>
      <x:c r="W113" s="6"/>
      <x:c r="X113" s="7"/>
      <x:c r="Y113" s="9" t="str">
        <x:f>IF(A113="","",IF(OR(K113="Complete",K113="Declined",K113="Closed without data"),"Collection closed",IF(OR(I113="",J113=""),"Date unverified",IF(I113&lt;'Dashboard'!$B$4,"Overdue",IF(I113&lt;='Dashboard'!$B$4+'Dashboard'!$B$5,"Due soon","Later")))))</x:f>
      </x:c>
      <x:c r="Z113" s="9" t="str">
        <x:f>IF(A113="","",IF(H113="","Unassigned",IF(AND(L113&lt;&gt;"",M113=""),"Awaiting acknowledgement",IF(AND(R113&lt;&gt;"",R113&lt;'Dashboard'!$B$4),"Action date passed",IF(AND(OR(K113="Not started",K113="In progress",K113="Awaiting return",K113="Received partial",K113="Unable to reach"),OR(Q113="",R113="")),"Next action missing","No handoff flag")))))</x:f>
      </x:c>
      <x:c r="AA113" s="9" t="str">
        <x:f>IF(A113="","",IF(COUNTIFS($A$6:$A$205,A113)&gt;1,"Duplicate task ID",IF(COUNTIFS($B$6:$B$205,B113,$D$6:$D$205,D113,$E$6:$E$205,E113,$F$6:$F$205,F113)&gt;1,"Duplicate cycle/instrument",IF(OR(B113="",C113="Check roster",C113="Site missing",D113="",E113="",F113="",G113="",G113="Needs verification",K113="",S113="",U113="",X113=""),"Missing core fields",IF(AND(OR(K113="Complete",K113="Received partial"),O113=""),"Missing completion date",IF(AND(U113="Verified submitted",OR(V113="",W113="",S113&lt;&gt;"Verified")),"Submission evidence gap",IF(AND(S113="Verified",T113=""),"Source evidence gap","Recorded")))))))</x:f>
      </x:c>
      <x:c r="AB113" s="9" t="str">
        <x:f>IF(A113="","",IF(OR(I113="",J113=""),"Undated",IF(AND(I113&gt;='Dashboard'!$B$6,I113&lt;='Dashboard'!$B$7),"In period","Outside period")))</x:f>
      </x:c>
      <x:c r="AC113" s="9" t="str">
        <x:f>IF(A113="","",IF(AND(OR(K113="Complete",K113="Received partial"),O113&lt;&gt;"",O113&lt;='Dashboard'!$B$4),1,0))</x:f>
      </x:c>
      <x:c r="AD113" s="9" t="str">
        <x:f>IF(A113="","",IF(AND(U113="Verified submitted",V113&lt;&gt;"",V113&lt;='Dashboard'!$B$4,W113&lt;&gt;"",S113="Verified",T113&lt;&gt;""),1,0))</x:f>
      </x:c>
      <x:c r="AE113" s="1"/>
      <x:c r="AF113" s="1"/>
      <x:c r="AG113" s="1"/>
      <x:c r="AH113" s="1"/>
    </x:row>
    <x:row r="114" ht="23" customHeight="1">
      <x:c r="A114" s="8"/>
      <x:c r="B114" s="8"/>
      <x:c r="C114" s="9" t="str">
        <x:f>IF(B114="","",IF(COUNTIFS('Roster'!$A$6:$A$205,B114)&lt;&gt;1,"Check roster",IF(INDEX('Roster'!$B$6:$B$205,MATCH(B114,'Roster'!$A$6:$A$205,0))="","Site missing",INDEX('Roster'!$B$6:$B$205,MATCH(B114,'Roster'!$A$6:$A$205,0)))))</x:f>
      </x:c>
      <x:c r="D114" s="6"/>
      <x:c r="E114" s="7"/>
      <x:c r="F114" s="6"/>
      <x:c r="G114" s="6"/>
      <x:c r="H114" s="6"/>
      <x:c r="I114" s="7"/>
      <x:c r="J114" s="6"/>
      <x:c r="K114" s="6"/>
      <x:c r="L114" s="7"/>
      <x:c r="M114" s="7"/>
      <x:c r="N114" s="7"/>
      <x:c r="O114" s="7"/>
      <x:c r="P114" s="7"/>
      <x:c r="Q114" s="6"/>
      <x:c r="R114" s="7"/>
      <x:c r="S114" s="6"/>
      <x:c r="T114" s="6"/>
      <x:c r="U114" s="6"/>
      <x:c r="V114" s="7"/>
      <x:c r="W114" s="6"/>
      <x:c r="X114" s="7"/>
      <x:c r="Y114" s="9" t="str">
        <x:f>IF(A114="","",IF(OR(K114="Complete",K114="Declined",K114="Closed without data"),"Collection closed",IF(OR(I114="",J114=""),"Date unverified",IF(I114&lt;'Dashboard'!$B$4,"Overdue",IF(I114&lt;='Dashboard'!$B$4+'Dashboard'!$B$5,"Due soon","Later")))))</x:f>
      </x:c>
      <x:c r="Z114" s="9" t="str">
        <x:f>IF(A114="","",IF(H114="","Unassigned",IF(AND(L114&lt;&gt;"",M114=""),"Awaiting acknowledgement",IF(AND(R114&lt;&gt;"",R114&lt;'Dashboard'!$B$4),"Action date passed",IF(AND(OR(K114="Not started",K114="In progress",K114="Awaiting return",K114="Received partial",K114="Unable to reach"),OR(Q114="",R114="")),"Next action missing","No handoff flag")))))</x:f>
      </x:c>
      <x:c r="AA114" s="9" t="str">
        <x:f>IF(A114="","",IF(COUNTIFS($A$6:$A$205,A114)&gt;1,"Duplicate task ID",IF(COUNTIFS($B$6:$B$205,B114,$D$6:$D$205,D114,$E$6:$E$205,E114,$F$6:$F$205,F114)&gt;1,"Duplicate cycle/instrument",IF(OR(B114="",C114="Check roster",C114="Site missing",D114="",E114="",F114="",G114="",G114="Needs verification",K114="",S114="",U114="",X114=""),"Missing core fields",IF(AND(OR(K114="Complete",K114="Received partial"),O114=""),"Missing completion date",IF(AND(U114="Verified submitted",OR(V114="",W114="",S114&lt;&gt;"Verified")),"Submission evidence gap",IF(AND(S114="Verified",T114=""),"Source evidence gap","Recorded")))))))</x:f>
      </x:c>
      <x:c r="AB114" s="9" t="str">
        <x:f>IF(A114="","",IF(OR(I114="",J114=""),"Undated",IF(AND(I114&gt;='Dashboard'!$B$6,I114&lt;='Dashboard'!$B$7),"In period","Outside period")))</x:f>
      </x:c>
      <x:c r="AC114" s="9" t="str">
        <x:f>IF(A114="","",IF(AND(OR(K114="Complete",K114="Received partial"),O114&lt;&gt;"",O114&lt;='Dashboard'!$B$4),1,0))</x:f>
      </x:c>
      <x:c r="AD114" s="9" t="str">
        <x:f>IF(A114="","",IF(AND(U114="Verified submitted",V114&lt;&gt;"",V114&lt;='Dashboard'!$B$4,W114&lt;&gt;"",S114="Verified",T114&lt;&gt;""),1,0))</x:f>
      </x:c>
      <x:c r="AE114" s="1"/>
      <x:c r="AF114" s="1"/>
      <x:c r="AG114" s="1"/>
      <x:c r="AH114" s="1"/>
    </x:row>
    <x:row r="115" ht="23" customHeight="1">
      <x:c r="A115" s="8"/>
      <x:c r="B115" s="8"/>
      <x:c r="C115" s="9" t="str">
        <x:f>IF(B115="","",IF(COUNTIFS('Roster'!$A$6:$A$205,B115)&lt;&gt;1,"Check roster",IF(INDEX('Roster'!$B$6:$B$205,MATCH(B115,'Roster'!$A$6:$A$205,0))="","Site missing",INDEX('Roster'!$B$6:$B$205,MATCH(B115,'Roster'!$A$6:$A$205,0)))))</x:f>
      </x:c>
      <x:c r="D115" s="6"/>
      <x:c r="E115" s="7"/>
      <x:c r="F115" s="6"/>
      <x:c r="G115" s="6"/>
      <x:c r="H115" s="6"/>
      <x:c r="I115" s="7"/>
      <x:c r="J115" s="6"/>
      <x:c r="K115" s="6"/>
      <x:c r="L115" s="7"/>
      <x:c r="M115" s="7"/>
      <x:c r="N115" s="7"/>
      <x:c r="O115" s="7"/>
      <x:c r="P115" s="7"/>
      <x:c r="Q115" s="6"/>
      <x:c r="R115" s="7"/>
      <x:c r="S115" s="6"/>
      <x:c r="T115" s="6"/>
      <x:c r="U115" s="6"/>
      <x:c r="V115" s="7"/>
      <x:c r="W115" s="6"/>
      <x:c r="X115" s="7"/>
      <x:c r="Y115" s="9" t="str">
        <x:f>IF(A115="","",IF(OR(K115="Complete",K115="Declined",K115="Closed without data"),"Collection closed",IF(OR(I115="",J115=""),"Date unverified",IF(I115&lt;'Dashboard'!$B$4,"Overdue",IF(I115&lt;='Dashboard'!$B$4+'Dashboard'!$B$5,"Due soon","Later")))))</x:f>
      </x:c>
      <x:c r="Z115" s="9" t="str">
        <x:f>IF(A115="","",IF(H115="","Unassigned",IF(AND(L115&lt;&gt;"",M115=""),"Awaiting acknowledgement",IF(AND(R115&lt;&gt;"",R115&lt;'Dashboard'!$B$4),"Action date passed",IF(AND(OR(K115="Not started",K115="In progress",K115="Awaiting return",K115="Received partial",K115="Unable to reach"),OR(Q115="",R115="")),"Next action missing","No handoff flag")))))</x:f>
      </x:c>
      <x:c r="AA115" s="9" t="str">
        <x:f>IF(A115="","",IF(COUNTIFS($A$6:$A$205,A115)&gt;1,"Duplicate task ID",IF(COUNTIFS($B$6:$B$205,B115,$D$6:$D$205,D115,$E$6:$E$205,E115,$F$6:$F$205,F115)&gt;1,"Duplicate cycle/instrument",IF(OR(B115="",C115="Check roster",C115="Site missing",D115="",E115="",F115="",G115="",G115="Needs verification",K115="",S115="",U115="",X115=""),"Missing core fields",IF(AND(OR(K115="Complete",K115="Received partial"),O115=""),"Missing completion date",IF(AND(U115="Verified submitted",OR(V115="",W115="",S115&lt;&gt;"Verified")),"Submission evidence gap",IF(AND(S115="Verified",T115=""),"Source evidence gap","Recorded")))))))</x:f>
      </x:c>
      <x:c r="AB115" s="9" t="str">
        <x:f>IF(A115="","",IF(OR(I115="",J115=""),"Undated",IF(AND(I115&gt;='Dashboard'!$B$6,I115&lt;='Dashboard'!$B$7),"In period","Outside period")))</x:f>
      </x:c>
      <x:c r="AC115" s="9" t="str">
        <x:f>IF(A115="","",IF(AND(OR(K115="Complete",K115="Received partial"),O115&lt;&gt;"",O115&lt;='Dashboard'!$B$4),1,0))</x:f>
      </x:c>
      <x:c r="AD115" s="9" t="str">
        <x:f>IF(A115="","",IF(AND(U115="Verified submitted",V115&lt;&gt;"",V115&lt;='Dashboard'!$B$4,W115&lt;&gt;"",S115="Verified",T115&lt;&gt;""),1,0))</x:f>
      </x:c>
      <x:c r="AE115" s="1"/>
      <x:c r="AF115" s="1"/>
      <x:c r="AG115" s="1"/>
      <x:c r="AH115" s="1"/>
    </x:row>
    <x:row r="116" ht="23" customHeight="1">
      <x:c r="A116" s="8"/>
      <x:c r="B116" s="8"/>
      <x:c r="C116" s="9" t="str">
        <x:f>IF(B116="","",IF(COUNTIFS('Roster'!$A$6:$A$205,B116)&lt;&gt;1,"Check roster",IF(INDEX('Roster'!$B$6:$B$205,MATCH(B116,'Roster'!$A$6:$A$205,0))="","Site missing",INDEX('Roster'!$B$6:$B$205,MATCH(B116,'Roster'!$A$6:$A$205,0)))))</x:f>
      </x:c>
      <x:c r="D116" s="6"/>
      <x:c r="E116" s="7"/>
      <x:c r="F116" s="6"/>
      <x:c r="G116" s="6"/>
      <x:c r="H116" s="6"/>
      <x:c r="I116" s="7"/>
      <x:c r="J116" s="6"/>
      <x:c r="K116" s="6"/>
      <x:c r="L116" s="7"/>
      <x:c r="M116" s="7"/>
      <x:c r="N116" s="7"/>
      <x:c r="O116" s="7"/>
      <x:c r="P116" s="7"/>
      <x:c r="Q116" s="6"/>
      <x:c r="R116" s="7"/>
      <x:c r="S116" s="6"/>
      <x:c r="T116" s="6"/>
      <x:c r="U116" s="6"/>
      <x:c r="V116" s="7"/>
      <x:c r="W116" s="6"/>
      <x:c r="X116" s="7"/>
      <x:c r="Y116" s="9" t="str">
        <x:f>IF(A116="","",IF(OR(K116="Complete",K116="Declined",K116="Closed without data"),"Collection closed",IF(OR(I116="",J116=""),"Date unverified",IF(I116&lt;'Dashboard'!$B$4,"Overdue",IF(I116&lt;='Dashboard'!$B$4+'Dashboard'!$B$5,"Due soon","Later")))))</x:f>
      </x:c>
      <x:c r="Z116" s="9" t="str">
        <x:f>IF(A116="","",IF(H116="","Unassigned",IF(AND(L116&lt;&gt;"",M116=""),"Awaiting acknowledgement",IF(AND(R116&lt;&gt;"",R116&lt;'Dashboard'!$B$4),"Action date passed",IF(AND(OR(K116="Not started",K116="In progress",K116="Awaiting return",K116="Received partial",K116="Unable to reach"),OR(Q116="",R116="")),"Next action missing","No handoff flag")))))</x:f>
      </x:c>
      <x:c r="AA116" s="9" t="str">
        <x:f>IF(A116="","",IF(COUNTIFS($A$6:$A$205,A116)&gt;1,"Duplicate task ID",IF(COUNTIFS($B$6:$B$205,B116,$D$6:$D$205,D116,$E$6:$E$205,E116,$F$6:$F$205,F116)&gt;1,"Duplicate cycle/instrument",IF(OR(B116="",C116="Check roster",C116="Site missing",D116="",E116="",F116="",G116="",G116="Needs verification",K116="",S116="",U116="",X116=""),"Missing core fields",IF(AND(OR(K116="Complete",K116="Received partial"),O116=""),"Missing completion date",IF(AND(U116="Verified submitted",OR(V116="",W116="",S116&lt;&gt;"Verified")),"Submission evidence gap",IF(AND(S116="Verified",T116=""),"Source evidence gap","Recorded")))))))</x:f>
      </x:c>
      <x:c r="AB116" s="9" t="str">
        <x:f>IF(A116="","",IF(OR(I116="",J116=""),"Undated",IF(AND(I116&gt;='Dashboard'!$B$6,I116&lt;='Dashboard'!$B$7),"In period","Outside period")))</x:f>
      </x:c>
      <x:c r="AC116" s="9" t="str">
        <x:f>IF(A116="","",IF(AND(OR(K116="Complete",K116="Received partial"),O116&lt;&gt;"",O116&lt;='Dashboard'!$B$4),1,0))</x:f>
      </x:c>
      <x:c r="AD116" s="9" t="str">
        <x:f>IF(A116="","",IF(AND(U116="Verified submitted",V116&lt;&gt;"",V116&lt;='Dashboard'!$B$4,W116&lt;&gt;"",S116="Verified",T116&lt;&gt;""),1,0))</x:f>
      </x:c>
      <x:c r="AE116" s="1"/>
      <x:c r="AF116" s="1"/>
      <x:c r="AG116" s="1"/>
      <x:c r="AH116" s="1"/>
    </x:row>
    <x:row r="117" ht="23" customHeight="1">
      <x:c r="A117" s="8"/>
      <x:c r="B117" s="8"/>
      <x:c r="C117" s="9" t="str">
        <x:f>IF(B117="","",IF(COUNTIFS('Roster'!$A$6:$A$205,B117)&lt;&gt;1,"Check roster",IF(INDEX('Roster'!$B$6:$B$205,MATCH(B117,'Roster'!$A$6:$A$205,0))="","Site missing",INDEX('Roster'!$B$6:$B$205,MATCH(B117,'Roster'!$A$6:$A$205,0)))))</x:f>
      </x:c>
      <x:c r="D117" s="6"/>
      <x:c r="E117" s="7"/>
      <x:c r="F117" s="6"/>
      <x:c r="G117" s="6"/>
      <x:c r="H117" s="6"/>
      <x:c r="I117" s="7"/>
      <x:c r="J117" s="6"/>
      <x:c r="K117" s="6"/>
      <x:c r="L117" s="7"/>
      <x:c r="M117" s="7"/>
      <x:c r="N117" s="7"/>
      <x:c r="O117" s="7"/>
      <x:c r="P117" s="7"/>
      <x:c r="Q117" s="6"/>
      <x:c r="R117" s="7"/>
      <x:c r="S117" s="6"/>
      <x:c r="T117" s="6"/>
      <x:c r="U117" s="6"/>
      <x:c r="V117" s="7"/>
      <x:c r="W117" s="6"/>
      <x:c r="X117" s="7"/>
      <x:c r="Y117" s="9" t="str">
        <x:f>IF(A117="","",IF(OR(K117="Complete",K117="Declined",K117="Closed without data"),"Collection closed",IF(OR(I117="",J117=""),"Date unverified",IF(I117&lt;'Dashboard'!$B$4,"Overdue",IF(I117&lt;='Dashboard'!$B$4+'Dashboard'!$B$5,"Due soon","Later")))))</x:f>
      </x:c>
      <x:c r="Z117" s="9" t="str">
        <x:f>IF(A117="","",IF(H117="","Unassigned",IF(AND(L117&lt;&gt;"",M117=""),"Awaiting acknowledgement",IF(AND(R117&lt;&gt;"",R117&lt;'Dashboard'!$B$4),"Action date passed",IF(AND(OR(K117="Not started",K117="In progress",K117="Awaiting return",K117="Received partial",K117="Unable to reach"),OR(Q117="",R117="")),"Next action missing","No handoff flag")))))</x:f>
      </x:c>
      <x:c r="AA117" s="9" t="str">
        <x:f>IF(A117="","",IF(COUNTIFS($A$6:$A$205,A117)&gt;1,"Duplicate task ID",IF(COUNTIFS($B$6:$B$205,B117,$D$6:$D$205,D117,$E$6:$E$205,E117,$F$6:$F$205,F117)&gt;1,"Duplicate cycle/instrument",IF(OR(B117="",C117="Check roster",C117="Site missing",D117="",E117="",F117="",G117="",G117="Needs verification",K117="",S117="",U117="",X117=""),"Missing core fields",IF(AND(OR(K117="Complete",K117="Received partial"),O117=""),"Missing completion date",IF(AND(U117="Verified submitted",OR(V117="",W117="",S117&lt;&gt;"Verified")),"Submission evidence gap",IF(AND(S117="Verified",T117=""),"Source evidence gap","Recorded")))))))</x:f>
      </x:c>
      <x:c r="AB117" s="9" t="str">
        <x:f>IF(A117="","",IF(OR(I117="",J117=""),"Undated",IF(AND(I117&gt;='Dashboard'!$B$6,I117&lt;='Dashboard'!$B$7),"In period","Outside period")))</x:f>
      </x:c>
      <x:c r="AC117" s="9" t="str">
        <x:f>IF(A117="","",IF(AND(OR(K117="Complete",K117="Received partial"),O117&lt;&gt;"",O117&lt;='Dashboard'!$B$4),1,0))</x:f>
      </x:c>
      <x:c r="AD117" s="9" t="str">
        <x:f>IF(A117="","",IF(AND(U117="Verified submitted",V117&lt;&gt;"",V117&lt;='Dashboard'!$B$4,W117&lt;&gt;"",S117="Verified",T117&lt;&gt;""),1,0))</x:f>
      </x:c>
      <x:c r="AE117" s="1"/>
      <x:c r="AF117" s="1"/>
      <x:c r="AG117" s="1"/>
      <x:c r="AH117" s="1"/>
    </x:row>
    <x:row r="118" ht="23" customHeight="1">
      <x:c r="A118" s="8"/>
      <x:c r="B118" s="8"/>
      <x:c r="C118" s="9" t="str">
        <x:f>IF(B118="","",IF(COUNTIFS('Roster'!$A$6:$A$205,B118)&lt;&gt;1,"Check roster",IF(INDEX('Roster'!$B$6:$B$205,MATCH(B118,'Roster'!$A$6:$A$205,0))="","Site missing",INDEX('Roster'!$B$6:$B$205,MATCH(B118,'Roster'!$A$6:$A$205,0)))))</x:f>
      </x:c>
      <x:c r="D118" s="6"/>
      <x:c r="E118" s="7"/>
      <x:c r="F118" s="6"/>
      <x:c r="G118" s="6"/>
      <x:c r="H118" s="6"/>
      <x:c r="I118" s="7"/>
      <x:c r="J118" s="6"/>
      <x:c r="K118" s="6"/>
      <x:c r="L118" s="7"/>
      <x:c r="M118" s="7"/>
      <x:c r="N118" s="7"/>
      <x:c r="O118" s="7"/>
      <x:c r="P118" s="7"/>
      <x:c r="Q118" s="6"/>
      <x:c r="R118" s="7"/>
      <x:c r="S118" s="6"/>
      <x:c r="T118" s="6"/>
      <x:c r="U118" s="6"/>
      <x:c r="V118" s="7"/>
      <x:c r="W118" s="6"/>
      <x:c r="X118" s="7"/>
      <x:c r="Y118" s="9" t="str">
        <x:f>IF(A118="","",IF(OR(K118="Complete",K118="Declined",K118="Closed without data"),"Collection closed",IF(OR(I118="",J118=""),"Date unverified",IF(I118&lt;'Dashboard'!$B$4,"Overdue",IF(I118&lt;='Dashboard'!$B$4+'Dashboard'!$B$5,"Due soon","Later")))))</x:f>
      </x:c>
      <x:c r="Z118" s="9" t="str">
        <x:f>IF(A118="","",IF(H118="","Unassigned",IF(AND(L118&lt;&gt;"",M118=""),"Awaiting acknowledgement",IF(AND(R118&lt;&gt;"",R118&lt;'Dashboard'!$B$4),"Action date passed",IF(AND(OR(K118="Not started",K118="In progress",K118="Awaiting return",K118="Received partial",K118="Unable to reach"),OR(Q118="",R118="")),"Next action missing","No handoff flag")))))</x:f>
      </x:c>
      <x:c r="AA118" s="9" t="str">
        <x:f>IF(A118="","",IF(COUNTIFS($A$6:$A$205,A118)&gt;1,"Duplicate task ID",IF(COUNTIFS($B$6:$B$205,B118,$D$6:$D$205,D118,$E$6:$E$205,E118,$F$6:$F$205,F118)&gt;1,"Duplicate cycle/instrument",IF(OR(B118="",C118="Check roster",C118="Site missing",D118="",E118="",F118="",G118="",G118="Needs verification",K118="",S118="",U118="",X118=""),"Missing core fields",IF(AND(OR(K118="Complete",K118="Received partial"),O118=""),"Missing completion date",IF(AND(U118="Verified submitted",OR(V118="",W118="",S118&lt;&gt;"Verified")),"Submission evidence gap",IF(AND(S118="Verified",T118=""),"Source evidence gap","Recorded")))))))</x:f>
      </x:c>
      <x:c r="AB118" s="9" t="str">
        <x:f>IF(A118="","",IF(OR(I118="",J118=""),"Undated",IF(AND(I118&gt;='Dashboard'!$B$6,I118&lt;='Dashboard'!$B$7),"In period","Outside period")))</x:f>
      </x:c>
      <x:c r="AC118" s="9" t="str">
        <x:f>IF(A118="","",IF(AND(OR(K118="Complete",K118="Received partial"),O118&lt;&gt;"",O118&lt;='Dashboard'!$B$4),1,0))</x:f>
      </x:c>
      <x:c r="AD118" s="9" t="str">
        <x:f>IF(A118="","",IF(AND(U118="Verified submitted",V118&lt;&gt;"",V118&lt;='Dashboard'!$B$4,W118&lt;&gt;"",S118="Verified",T118&lt;&gt;""),1,0))</x:f>
      </x:c>
      <x:c r="AE118" s="1"/>
      <x:c r="AF118" s="1"/>
      <x:c r="AG118" s="1"/>
      <x:c r="AH118" s="1"/>
    </x:row>
    <x:row r="119" ht="23" customHeight="1">
      <x:c r="A119" s="8"/>
      <x:c r="B119" s="8"/>
      <x:c r="C119" s="9" t="str">
        <x:f>IF(B119="","",IF(COUNTIFS('Roster'!$A$6:$A$205,B119)&lt;&gt;1,"Check roster",IF(INDEX('Roster'!$B$6:$B$205,MATCH(B119,'Roster'!$A$6:$A$205,0))="","Site missing",INDEX('Roster'!$B$6:$B$205,MATCH(B119,'Roster'!$A$6:$A$205,0)))))</x:f>
      </x:c>
      <x:c r="D119" s="6"/>
      <x:c r="E119" s="7"/>
      <x:c r="F119" s="6"/>
      <x:c r="G119" s="6"/>
      <x:c r="H119" s="6"/>
      <x:c r="I119" s="7"/>
      <x:c r="J119" s="6"/>
      <x:c r="K119" s="6"/>
      <x:c r="L119" s="7"/>
      <x:c r="M119" s="7"/>
      <x:c r="N119" s="7"/>
      <x:c r="O119" s="7"/>
      <x:c r="P119" s="7"/>
      <x:c r="Q119" s="6"/>
      <x:c r="R119" s="7"/>
      <x:c r="S119" s="6"/>
      <x:c r="T119" s="6"/>
      <x:c r="U119" s="6"/>
      <x:c r="V119" s="7"/>
      <x:c r="W119" s="6"/>
      <x:c r="X119" s="7"/>
      <x:c r="Y119" s="9" t="str">
        <x:f>IF(A119="","",IF(OR(K119="Complete",K119="Declined",K119="Closed without data"),"Collection closed",IF(OR(I119="",J119=""),"Date unverified",IF(I119&lt;'Dashboard'!$B$4,"Overdue",IF(I119&lt;='Dashboard'!$B$4+'Dashboard'!$B$5,"Due soon","Later")))))</x:f>
      </x:c>
      <x:c r="Z119" s="9" t="str">
        <x:f>IF(A119="","",IF(H119="","Unassigned",IF(AND(L119&lt;&gt;"",M119=""),"Awaiting acknowledgement",IF(AND(R119&lt;&gt;"",R119&lt;'Dashboard'!$B$4),"Action date passed",IF(AND(OR(K119="Not started",K119="In progress",K119="Awaiting return",K119="Received partial",K119="Unable to reach"),OR(Q119="",R119="")),"Next action missing","No handoff flag")))))</x:f>
      </x:c>
      <x:c r="AA119" s="9" t="str">
        <x:f>IF(A119="","",IF(COUNTIFS($A$6:$A$205,A119)&gt;1,"Duplicate task ID",IF(COUNTIFS($B$6:$B$205,B119,$D$6:$D$205,D119,$E$6:$E$205,E119,$F$6:$F$205,F119)&gt;1,"Duplicate cycle/instrument",IF(OR(B119="",C119="Check roster",C119="Site missing",D119="",E119="",F119="",G119="",G119="Needs verification",K119="",S119="",U119="",X119=""),"Missing core fields",IF(AND(OR(K119="Complete",K119="Received partial"),O119=""),"Missing completion date",IF(AND(U119="Verified submitted",OR(V119="",W119="",S119&lt;&gt;"Verified")),"Submission evidence gap",IF(AND(S119="Verified",T119=""),"Source evidence gap","Recorded")))))))</x:f>
      </x:c>
      <x:c r="AB119" s="9" t="str">
        <x:f>IF(A119="","",IF(OR(I119="",J119=""),"Undated",IF(AND(I119&gt;='Dashboard'!$B$6,I119&lt;='Dashboard'!$B$7),"In period","Outside period")))</x:f>
      </x:c>
      <x:c r="AC119" s="9" t="str">
        <x:f>IF(A119="","",IF(AND(OR(K119="Complete",K119="Received partial"),O119&lt;&gt;"",O119&lt;='Dashboard'!$B$4),1,0))</x:f>
      </x:c>
      <x:c r="AD119" s="9" t="str">
        <x:f>IF(A119="","",IF(AND(U119="Verified submitted",V119&lt;&gt;"",V119&lt;='Dashboard'!$B$4,W119&lt;&gt;"",S119="Verified",T119&lt;&gt;""),1,0))</x:f>
      </x:c>
      <x:c r="AE119" s="1"/>
      <x:c r="AF119" s="1"/>
      <x:c r="AG119" s="1"/>
      <x:c r="AH119" s="1"/>
    </x:row>
    <x:row r="120" ht="23" customHeight="1">
      <x:c r="A120" s="8"/>
      <x:c r="B120" s="8"/>
      <x:c r="C120" s="9" t="str">
        <x:f>IF(B120="","",IF(COUNTIFS('Roster'!$A$6:$A$205,B120)&lt;&gt;1,"Check roster",IF(INDEX('Roster'!$B$6:$B$205,MATCH(B120,'Roster'!$A$6:$A$205,0))="","Site missing",INDEX('Roster'!$B$6:$B$205,MATCH(B120,'Roster'!$A$6:$A$205,0)))))</x:f>
      </x:c>
      <x:c r="D120" s="6"/>
      <x:c r="E120" s="7"/>
      <x:c r="F120" s="6"/>
      <x:c r="G120" s="6"/>
      <x:c r="H120" s="6"/>
      <x:c r="I120" s="7"/>
      <x:c r="J120" s="6"/>
      <x:c r="K120" s="6"/>
      <x:c r="L120" s="7"/>
      <x:c r="M120" s="7"/>
      <x:c r="N120" s="7"/>
      <x:c r="O120" s="7"/>
      <x:c r="P120" s="7"/>
      <x:c r="Q120" s="6"/>
      <x:c r="R120" s="7"/>
      <x:c r="S120" s="6"/>
      <x:c r="T120" s="6"/>
      <x:c r="U120" s="6"/>
      <x:c r="V120" s="7"/>
      <x:c r="W120" s="6"/>
      <x:c r="X120" s="7"/>
      <x:c r="Y120" s="9" t="str">
        <x:f>IF(A120="","",IF(OR(K120="Complete",K120="Declined",K120="Closed without data"),"Collection closed",IF(OR(I120="",J120=""),"Date unverified",IF(I120&lt;'Dashboard'!$B$4,"Overdue",IF(I120&lt;='Dashboard'!$B$4+'Dashboard'!$B$5,"Due soon","Later")))))</x:f>
      </x:c>
      <x:c r="Z120" s="9" t="str">
        <x:f>IF(A120="","",IF(H120="","Unassigned",IF(AND(L120&lt;&gt;"",M120=""),"Awaiting acknowledgement",IF(AND(R120&lt;&gt;"",R120&lt;'Dashboard'!$B$4),"Action date passed",IF(AND(OR(K120="Not started",K120="In progress",K120="Awaiting return",K120="Received partial",K120="Unable to reach"),OR(Q120="",R120="")),"Next action missing","No handoff flag")))))</x:f>
      </x:c>
      <x:c r="AA120" s="9" t="str">
        <x:f>IF(A120="","",IF(COUNTIFS($A$6:$A$205,A120)&gt;1,"Duplicate task ID",IF(COUNTIFS($B$6:$B$205,B120,$D$6:$D$205,D120,$E$6:$E$205,E120,$F$6:$F$205,F120)&gt;1,"Duplicate cycle/instrument",IF(OR(B120="",C120="Check roster",C120="Site missing",D120="",E120="",F120="",G120="",G120="Needs verification",K120="",S120="",U120="",X120=""),"Missing core fields",IF(AND(OR(K120="Complete",K120="Received partial"),O120=""),"Missing completion date",IF(AND(U120="Verified submitted",OR(V120="",W120="",S120&lt;&gt;"Verified")),"Submission evidence gap",IF(AND(S120="Verified",T120=""),"Source evidence gap","Recorded")))))))</x:f>
      </x:c>
      <x:c r="AB120" s="9" t="str">
        <x:f>IF(A120="","",IF(OR(I120="",J120=""),"Undated",IF(AND(I120&gt;='Dashboard'!$B$6,I120&lt;='Dashboard'!$B$7),"In period","Outside period")))</x:f>
      </x:c>
      <x:c r="AC120" s="9" t="str">
        <x:f>IF(A120="","",IF(AND(OR(K120="Complete",K120="Received partial"),O120&lt;&gt;"",O120&lt;='Dashboard'!$B$4),1,0))</x:f>
      </x:c>
      <x:c r="AD120" s="9" t="str">
        <x:f>IF(A120="","",IF(AND(U120="Verified submitted",V120&lt;&gt;"",V120&lt;='Dashboard'!$B$4,W120&lt;&gt;"",S120="Verified",T120&lt;&gt;""),1,0))</x:f>
      </x:c>
      <x:c r="AE120" s="1"/>
      <x:c r="AF120" s="1"/>
      <x:c r="AG120" s="1"/>
      <x:c r="AH120" s="1"/>
    </x:row>
    <x:row r="121" ht="23" customHeight="1">
      <x:c r="A121" s="8"/>
      <x:c r="B121" s="8"/>
      <x:c r="C121" s="9" t="str">
        <x:f>IF(B121="","",IF(COUNTIFS('Roster'!$A$6:$A$205,B121)&lt;&gt;1,"Check roster",IF(INDEX('Roster'!$B$6:$B$205,MATCH(B121,'Roster'!$A$6:$A$205,0))="","Site missing",INDEX('Roster'!$B$6:$B$205,MATCH(B121,'Roster'!$A$6:$A$205,0)))))</x:f>
      </x:c>
      <x:c r="D121" s="6"/>
      <x:c r="E121" s="7"/>
      <x:c r="F121" s="6"/>
      <x:c r="G121" s="6"/>
      <x:c r="H121" s="6"/>
      <x:c r="I121" s="7"/>
      <x:c r="J121" s="6"/>
      <x:c r="K121" s="6"/>
      <x:c r="L121" s="7"/>
      <x:c r="M121" s="7"/>
      <x:c r="N121" s="7"/>
      <x:c r="O121" s="7"/>
      <x:c r="P121" s="7"/>
      <x:c r="Q121" s="6"/>
      <x:c r="R121" s="7"/>
      <x:c r="S121" s="6"/>
      <x:c r="T121" s="6"/>
      <x:c r="U121" s="6"/>
      <x:c r="V121" s="7"/>
      <x:c r="W121" s="6"/>
      <x:c r="X121" s="7"/>
      <x:c r="Y121" s="9" t="str">
        <x:f>IF(A121="","",IF(OR(K121="Complete",K121="Declined",K121="Closed without data"),"Collection closed",IF(OR(I121="",J121=""),"Date unverified",IF(I121&lt;'Dashboard'!$B$4,"Overdue",IF(I121&lt;='Dashboard'!$B$4+'Dashboard'!$B$5,"Due soon","Later")))))</x:f>
      </x:c>
      <x:c r="Z121" s="9" t="str">
        <x:f>IF(A121="","",IF(H121="","Unassigned",IF(AND(L121&lt;&gt;"",M121=""),"Awaiting acknowledgement",IF(AND(R121&lt;&gt;"",R121&lt;'Dashboard'!$B$4),"Action date passed",IF(AND(OR(K121="Not started",K121="In progress",K121="Awaiting return",K121="Received partial",K121="Unable to reach"),OR(Q121="",R121="")),"Next action missing","No handoff flag")))))</x:f>
      </x:c>
      <x:c r="AA121" s="9" t="str">
        <x:f>IF(A121="","",IF(COUNTIFS($A$6:$A$205,A121)&gt;1,"Duplicate task ID",IF(COUNTIFS($B$6:$B$205,B121,$D$6:$D$205,D121,$E$6:$E$205,E121,$F$6:$F$205,F121)&gt;1,"Duplicate cycle/instrument",IF(OR(B121="",C121="Check roster",C121="Site missing",D121="",E121="",F121="",G121="",G121="Needs verification",K121="",S121="",U121="",X121=""),"Missing core fields",IF(AND(OR(K121="Complete",K121="Received partial"),O121=""),"Missing completion date",IF(AND(U121="Verified submitted",OR(V121="",W121="",S121&lt;&gt;"Verified")),"Submission evidence gap",IF(AND(S121="Verified",T121=""),"Source evidence gap","Recorded")))))))</x:f>
      </x:c>
      <x:c r="AB121" s="9" t="str">
        <x:f>IF(A121="","",IF(OR(I121="",J121=""),"Undated",IF(AND(I121&gt;='Dashboard'!$B$6,I121&lt;='Dashboard'!$B$7),"In period","Outside period")))</x:f>
      </x:c>
      <x:c r="AC121" s="9" t="str">
        <x:f>IF(A121="","",IF(AND(OR(K121="Complete",K121="Received partial"),O121&lt;&gt;"",O121&lt;='Dashboard'!$B$4),1,0))</x:f>
      </x:c>
      <x:c r="AD121" s="9" t="str">
        <x:f>IF(A121="","",IF(AND(U121="Verified submitted",V121&lt;&gt;"",V121&lt;='Dashboard'!$B$4,W121&lt;&gt;"",S121="Verified",T121&lt;&gt;""),1,0))</x:f>
      </x:c>
      <x:c r="AE121" s="1"/>
      <x:c r="AF121" s="1"/>
      <x:c r="AG121" s="1"/>
      <x:c r="AH121" s="1"/>
    </x:row>
    <x:row r="122" ht="23" customHeight="1">
      <x:c r="A122" s="8"/>
      <x:c r="B122" s="8"/>
      <x:c r="C122" s="9" t="str">
        <x:f>IF(B122="","",IF(COUNTIFS('Roster'!$A$6:$A$205,B122)&lt;&gt;1,"Check roster",IF(INDEX('Roster'!$B$6:$B$205,MATCH(B122,'Roster'!$A$6:$A$205,0))="","Site missing",INDEX('Roster'!$B$6:$B$205,MATCH(B122,'Roster'!$A$6:$A$205,0)))))</x:f>
      </x:c>
      <x:c r="D122" s="6"/>
      <x:c r="E122" s="7"/>
      <x:c r="F122" s="6"/>
      <x:c r="G122" s="6"/>
      <x:c r="H122" s="6"/>
      <x:c r="I122" s="7"/>
      <x:c r="J122" s="6"/>
      <x:c r="K122" s="6"/>
      <x:c r="L122" s="7"/>
      <x:c r="M122" s="7"/>
      <x:c r="N122" s="7"/>
      <x:c r="O122" s="7"/>
      <x:c r="P122" s="7"/>
      <x:c r="Q122" s="6"/>
      <x:c r="R122" s="7"/>
      <x:c r="S122" s="6"/>
      <x:c r="T122" s="6"/>
      <x:c r="U122" s="6"/>
      <x:c r="V122" s="7"/>
      <x:c r="W122" s="6"/>
      <x:c r="X122" s="7"/>
      <x:c r="Y122" s="9" t="str">
        <x:f>IF(A122="","",IF(OR(K122="Complete",K122="Declined",K122="Closed without data"),"Collection closed",IF(OR(I122="",J122=""),"Date unverified",IF(I122&lt;'Dashboard'!$B$4,"Overdue",IF(I122&lt;='Dashboard'!$B$4+'Dashboard'!$B$5,"Due soon","Later")))))</x:f>
      </x:c>
      <x:c r="Z122" s="9" t="str">
        <x:f>IF(A122="","",IF(H122="","Unassigned",IF(AND(L122&lt;&gt;"",M122=""),"Awaiting acknowledgement",IF(AND(R122&lt;&gt;"",R122&lt;'Dashboard'!$B$4),"Action date passed",IF(AND(OR(K122="Not started",K122="In progress",K122="Awaiting return",K122="Received partial",K122="Unable to reach"),OR(Q122="",R122="")),"Next action missing","No handoff flag")))))</x:f>
      </x:c>
      <x:c r="AA122" s="9" t="str">
        <x:f>IF(A122="","",IF(COUNTIFS($A$6:$A$205,A122)&gt;1,"Duplicate task ID",IF(COUNTIFS($B$6:$B$205,B122,$D$6:$D$205,D122,$E$6:$E$205,E122,$F$6:$F$205,F122)&gt;1,"Duplicate cycle/instrument",IF(OR(B122="",C122="Check roster",C122="Site missing",D122="",E122="",F122="",G122="",G122="Needs verification",K122="",S122="",U122="",X122=""),"Missing core fields",IF(AND(OR(K122="Complete",K122="Received partial"),O122=""),"Missing completion date",IF(AND(U122="Verified submitted",OR(V122="",W122="",S122&lt;&gt;"Verified")),"Submission evidence gap",IF(AND(S122="Verified",T122=""),"Source evidence gap","Recorded")))))))</x:f>
      </x:c>
      <x:c r="AB122" s="9" t="str">
        <x:f>IF(A122="","",IF(OR(I122="",J122=""),"Undated",IF(AND(I122&gt;='Dashboard'!$B$6,I122&lt;='Dashboard'!$B$7),"In period","Outside period")))</x:f>
      </x:c>
      <x:c r="AC122" s="9" t="str">
        <x:f>IF(A122="","",IF(AND(OR(K122="Complete",K122="Received partial"),O122&lt;&gt;"",O122&lt;='Dashboard'!$B$4),1,0))</x:f>
      </x:c>
      <x:c r="AD122" s="9" t="str">
        <x:f>IF(A122="","",IF(AND(U122="Verified submitted",V122&lt;&gt;"",V122&lt;='Dashboard'!$B$4,W122&lt;&gt;"",S122="Verified",T122&lt;&gt;""),1,0))</x:f>
      </x:c>
      <x:c r="AE122" s="1"/>
      <x:c r="AF122" s="1"/>
      <x:c r="AG122" s="1"/>
      <x:c r="AH122" s="1"/>
    </x:row>
    <x:row r="123" ht="23" customHeight="1">
      <x:c r="A123" s="8"/>
      <x:c r="B123" s="8"/>
      <x:c r="C123" s="9" t="str">
        <x:f>IF(B123="","",IF(COUNTIFS('Roster'!$A$6:$A$205,B123)&lt;&gt;1,"Check roster",IF(INDEX('Roster'!$B$6:$B$205,MATCH(B123,'Roster'!$A$6:$A$205,0))="","Site missing",INDEX('Roster'!$B$6:$B$205,MATCH(B123,'Roster'!$A$6:$A$205,0)))))</x:f>
      </x:c>
      <x:c r="D123" s="6"/>
      <x:c r="E123" s="7"/>
      <x:c r="F123" s="6"/>
      <x:c r="G123" s="6"/>
      <x:c r="H123" s="6"/>
      <x:c r="I123" s="7"/>
      <x:c r="J123" s="6"/>
      <x:c r="K123" s="6"/>
      <x:c r="L123" s="7"/>
      <x:c r="M123" s="7"/>
      <x:c r="N123" s="7"/>
      <x:c r="O123" s="7"/>
      <x:c r="P123" s="7"/>
      <x:c r="Q123" s="6"/>
      <x:c r="R123" s="7"/>
      <x:c r="S123" s="6"/>
      <x:c r="T123" s="6"/>
      <x:c r="U123" s="6"/>
      <x:c r="V123" s="7"/>
      <x:c r="W123" s="6"/>
      <x:c r="X123" s="7"/>
      <x:c r="Y123" s="9" t="str">
        <x:f>IF(A123="","",IF(OR(K123="Complete",K123="Declined",K123="Closed without data"),"Collection closed",IF(OR(I123="",J123=""),"Date unverified",IF(I123&lt;'Dashboard'!$B$4,"Overdue",IF(I123&lt;='Dashboard'!$B$4+'Dashboard'!$B$5,"Due soon","Later")))))</x:f>
      </x:c>
      <x:c r="Z123" s="9" t="str">
        <x:f>IF(A123="","",IF(H123="","Unassigned",IF(AND(L123&lt;&gt;"",M123=""),"Awaiting acknowledgement",IF(AND(R123&lt;&gt;"",R123&lt;'Dashboard'!$B$4),"Action date passed",IF(AND(OR(K123="Not started",K123="In progress",K123="Awaiting return",K123="Received partial",K123="Unable to reach"),OR(Q123="",R123="")),"Next action missing","No handoff flag")))))</x:f>
      </x:c>
      <x:c r="AA123" s="9" t="str">
        <x:f>IF(A123="","",IF(COUNTIFS($A$6:$A$205,A123)&gt;1,"Duplicate task ID",IF(COUNTIFS($B$6:$B$205,B123,$D$6:$D$205,D123,$E$6:$E$205,E123,$F$6:$F$205,F123)&gt;1,"Duplicate cycle/instrument",IF(OR(B123="",C123="Check roster",C123="Site missing",D123="",E123="",F123="",G123="",G123="Needs verification",K123="",S123="",U123="",X123=""),"Missing core fields",IF(AND(OR(K123="Complete",K123="Received partial"),O123=""),"Missing completion date",IF(AND(U123="Verified submitted",OR(V123="",W123="",S123&lt;&gt;"Verified")),"Submission evidence gap",IF(AND(S123="Verified",T123=""),"Source evidence gap","Recorded")))))))</x:f>
      </x:c>
      <x:c r="AB123" s="9" t="str">
        <x:f>IF(A123="","",IF(OR(I123="",J123=""),"Undated",IF(AND(I123&gt;='Dashboard'!$B$6,I123&lt;='Dashboard'!$B$7),"In period","Outside period")))</x:f>
      </x:c>
      <x:c r="AC123" s="9" t="str">
        <x:f>IF(A123="","",IF(AND(OR(K123="Complete",K123="Received partial"),O123&lt;&gt;"",O123&lt;='Dashboard'!$B$4),1,0))</x:f>
      </x:c>
      <x:c r="AD123" s="9" t="str">
        <x:f>IF(A123="","",IF(AND(U123="Verified submitted",V123&lt;&gt;"",V123&lt;='Dashboard'!$B$4,W123&lt;&gt;"",S123="Verified",T123&lt;&gt;""),1,0))</x:f>
      </x:c>
      <x:c r="AE123" s="1"/>
      <x:c r="AF123" s="1"/>
      <x:c r="AG123" s="1"/>
      <x:c r="AH123" s="1"/>
    </x:row>
    <x:row r="124" ht="23" customHeight="1">
      <x:c r="A124" s="8"/>
      <x:c r="B124" s="8"/>
      <x:c r="C124" s="9" t="str">
        <x:f>IF(B124="","",IF(COUNTIFS('Roster'!$A$6:$A$205,B124)&lt;&gt;1,"Check roster",IF(INDEX('Roster'!$B$6:$B$205,MATCH(B124,'Roster'!$A$6:$A$205,0))="","Site missing",INDEX('Roster'!$B$6:$B$205,MATCH(B124,'Roster'!$A$6:$A$205,0)))))</x:f>
      </x:c>
      <x:c r="D124" s="6"/>
      <x:c r="E124" s="7"/>
      <x:c r="F124" s="6"/>
      <x:c r="G124" s="6"/>
      <x:c r="H124" s="6"/>
      <x:c r="I124" s="7"/>
      <x:c r="J124" s="6"/>
      <x:c r="K124" s="6"/>
      <x:c r="L124" s="7"/>
      <x:c r="M124" s="7"/>
      <x:c r="N124" s="7"/>
      <x:c r="O124" s="7"/>
      <x:c r="P124" s="7"/>
      <x:c r="Q124" s="6"/>
      <x:c r="R124" s="7"/>
      <x:c r="S124" s="6"/>
      <x:c r="T124" s="6"/>
      <x:c r="U124" s="6"/>
      <x:c r="V124" s="7"/>
      <x:c r="W124" s="6"/>
      <x:c r="X124" s="7"/>
      <x:c r="Y124" s="9" t="str">
        <x:f>IF(A124="","",IF(OR(K124="Complete",K124="Declined",K124="Closed without data"),"Collection closed",IF(OR(I124="",J124=""),"Date unverified",IF(I124&lt;'Dashboard'!$B$4,"Overdue",IF(I124&lt;='Dashboard'!$B$4+'Dashboard'!$B$5,"Due soon","Later")))))</x:f>
      </x:c>
      <x:c r="Z124" s="9" t="str">
        <x:f>IF(A124="","",IF(H124="","Unassigned",IF(AND(L124&lt;&gt;"",M124=""),"Awaiting acknowledgement",IF(AND(R124&lt;&gt;"",R124&lt;'Dashboard'!$B$4),"Action date passed",IF(AND(OR(K124="Not started",K124="In progress",K124="Awaiting return",K124="Received partial",K124="Unable to reach"),OR(Q124="",R124="")),"Next action missing","No handoff flag")))))</x:f>
      </x:c>
      <x:c r="AA124" s="9" t="str">
        <x:f>IF(A124="","",IF(COUNTIFS($A$6:$A$205,A124)&gt;1,"Duplicate task ID",IF(COUNTIFS($B$6:$B$205,B124,$D$6:$D$205,D124,$E$6:$E$205,E124,$F$6:$F$205,F124)&gt;1,"Duplicate cycle/instrument",IF(OR(B124="",C124="Check roster",C124="Site missing",D124="",E124="",F124="",G124="",G124="Needs verification",K124="",S124="",U124="",X124=""),"Missing core fields",IF(AND(OR(K124="Complete",K124="Received partial"),O124=""),"Missing completion date",IF(AND(U124="Verified submitted",OR(V124="",W124="",S124&lt;&gt;"Verified")),"Submission evidence gap",IF(AND(S124="Verified",T124=""),"Source evidence gap","Recorded")))))))</x:f>
      </x:c>
      <x:c r="AB124" s="9" t="str">
        <x:f>IF(A124="","",IF(OR(I124="",J124=""),"Undated",IF(AND(I124&gt;='Dashboard'!$B$6,I124&lt;='Dashboard'!$B$7),"In period","Outside period")))</x:f>
      </x:c>
      <x:c r="AC124" s="9" t="str">
        <x:f>IF(A124="","",IF(AND(OR(K124="Complete",K124="Received partial"),O124&lt;&gt;"",O124&lt;='Dashboard'!$B$4),1,0))</x:f>
      </x:c>
      <x:c r="AD124" s="9" t="str">
        <x:f>IF(A124="","",IF(AND(U124="Verified submitted",V124&lt;&gt;"",V124&lt;='Dashboard'!$B$4,W124&lt;&gt;"",S124="Verified",T124&lt;&gt;""),1,0))</x:f>
      </x:c>
      <x:c r="AE124" s="1"/>
      <x:c r="AF124" s="1"/>
      <x:c r="AG124" s="1"/>
      <x:c r="AH124" s="1"/>
    </x:row>
    <x:row r="125" ht="23" customHeight="1">
      <x:c r="A125" s="8"/>
      <x:c r="B125" s="8"/>
      <x:c r="C125" s="9" t="str">
        <x:f>IF(B125="","",IF(COUNTIFS('Roster'!$A$6:$A$205,B125)&lt;&gt;1,"Check roster",IF(INDEX('Roster'!$B$6:$B$205,MATCH(B125,'Roster'!$A$6:$A$205,0))="","Site missing",INDEX('Roster'!$B$6:$B$205,MATCH(B125,'Roster'!$A$6:$A$205,0)))))</x:f>
      </x:c>
      <x:c r="D125" s="6"/>
      <x:c r="E125" s="7"/>
      <x:c r="F125" s="6"/>
      <x:c r="G125" s="6"/>
      <x:c r="H125" s="6"/>
      <x:c r="I125" s="7"/>
      <x:c r="J125" s="6"/>
      <x:c r="K125" s="6"/>
      <x:c r="L125" s="7"/>
      <x:c r="M125" s="7"/>
      <x:c r="N125" s="7"/>
      <x:c r="O125" s="7"/>
      <x:c r="P125" s="7"/>
      <x:c r="Q125" s="6"/>
      <x:c r="R125" s="7"/>
      <x:c r="S125" s="6"/>
      <x:c r="T125" s="6"/>
      <x:c r="U125" s="6"/>
      <x:c r="V125" s="7"/>
      <x:c r="W125" s="6"/>
      <x:c r="X125" s="7"/>
      <x:c r="Y125" s="9" t="str">
        <x:f>IF(A125="","",IF(OR(K125="Complete",K125="Declined",K125="Closed without data"),"Collection closed",IF(OR(I125="",J125=""),"Date unverified",IF(I125&lt;'Dashboard'!$B$4,"Overdue",IF(I125&lt;='Dashboard'!$B$4+'Dashboard'!$B$5,"Due soon","Later")))))</x:f>
      </x:c>
      <x:c r="Z125" s="9" t="str">
        <x:f>IF(A125="","",IF(H125="","Unassigned",IF(AND(L125&lt;&gt;"",M125=""),"Awaiting acknowledgement",IF(AND(R125&lt;&gt;"",R125&lt;'Dashboard'!$B$4),"Action date passed",IF(AND(OR(K125="Not started",K125="In progress",K125="Awaiting return",K125="Received partial",K125="Unable to reach"),OR(Q125="",R125="")),"Next action missing","No handoff flag")))))</x:f>
      </x:c>
      <x:c r="AA125" s="9" t="str">
        <x:f>IF(A125="","",IF(COUNTIFS($A$6:$A$205,A125)&gt;1,"Duplicate task ID",IF(COUNTIFS($B$6:$B$205,B125,$D$6:$D$205,D125,$E$6:$E$205,E125,$F$6:$F$205,F125)&gt;1,"Duplicate cycle/instrument",IF(OR(B125="",C125="Check roster",C125="Site missing",D125="",E125="",F125="",G125="",G125="Needs verification",K125="",S125="",U125="",X125=""),"Missing core fields",IF(AND(OR(K125="Complete",K125="Received partial"),O125=""),"Missing completion date",IF(AND(U125="Verified submitted",OR(V125="",W125="",S125&lt;&gt;"Verified")),"Submission evidence gap",IF(AND(S125="Verified",T125=""),"Source evidence gap","Recorded")))))))</x:f>
      </x:c>
      <x:c r="AB125" s="9" t="str">
        <x:f>IF(A125="","",IF(OR(I125="",J125=""),"Undated",IF(AND(I125&gt;='Dashboard'!$B$6,I125&lt;='Dashboard'!$B$7),"In period","Outside period")))</x:f>
      </x:c>
      <x:c r="AC125" s="9" t="str">
        <x:f>IF(A125="","",IF(AND(OR(K125="Complete",K125="Received partial"),O125&lt;&gt;"",O125&lt;='Dashboard'!$B$4),1,0))</x:f>
      </x:c>
      <x:c r="AD125" s="9" t="str">
        <x:f>IF(A125="","",IF(AND(U125="Verified submitted",V125&lt;&gt;"",V125&lt;='Dashboard'!$B$4,W125&lt;&gt;"",S125="Verified",T125&lt;&gt;""),1,0))</x:f>
      </x:c>
      <x:c r="AE125" s="1"/>
      <x:c r="AF125" s="1"/>
      <x:c r="AG125" s="1"/>
      <x:c r="AH125" s="1"/>
    </x:row>
    <x:row r="126" ht="23" customHeight="1">
      <x:c r="A126" s="8"/>
      <x:c r="B126" s="8"/>
      <x:c r="C126" s="9" t="str">
        <x:f>IF(B126="","",IF(COUNTIFS('Roster'!$A$6:$A$205,B126)&lt;&gt;1,"Check roster",IF(INDEX('Roster'!$B$6:$B$205,MATCH(B126,'Roster'!$A$6:$A$205,0))="","Site missing",INDEX('Roster'!$B$6:$B$205,MATCH(B126,'Roster'!$A$6:$A$205,0)))))</x:f>
      </x:c>
      <x:c r="D126" s="6"/>
      <x:c r="E126" s="7"/>
      <x:c r="F126" s="6"/>
      <x:c r="G126" s="6"/>
      <x:c r="H126" s="6"/>
      <x:c r="I126" s="7"/>
      <x:c r="J126" s="6"/>
      <x:c r="K126" s="6"/>
      <x:c r="L126" s="7"/>
      <x:c r="M126" s="7"/>
      <x:c r="N126" s="7"/>
      <x:c r="O126" s="7"/>
      <x:c r="P126" s="7"/>
      <x:c r="Q126" s="6"/>
      <x:c r="R126" s="7"/>
      <x:c r="S126" s="6"/>
      <x:c r="T126" s="6"/>
      <x:c r="U126" s="6"/>
      <x:c r="V126" s="7"/>
      <x:c r="W126" s="6"/>
      <x:c r="X126" s="7"/>
      <x:c r="Y126" s="9" t="str">
        <x:f>IF(A126="","",IF(OR(K126="Complete",K126="Declined",K126="Closed without data"),"Collection closed",IF(OR(I126="",J126=""),"Date unverified",IF(I126&lt;'Dashboard'!$B$4,"Overdue",IF(I126&lt;='Dashboard'!$B$4+'Dashboard'!$B$5,"Due soon","Later")))))</x:f>
      </x:c>
      <x:c r="Z126" s="9" t="str">
        <x:f>IF(A126="","",IF(H126="","Unassigned",IF(AND(L126&lt;&gt;"",M126=""),"Awaiting acknowledgement",IF(AND(R126&lt;&gt;"",R126&lt;'Dashboard'!$B$4),"Action date passed",IF(AND(OR(K126="Not started",K126="In progress",K126="Awaiting return",K126="Received partial",K126="Unable to reach"),OR(Q126="",R126="")),"Next action missing","No handoff flag")))))</x:f>
      </x:c>
      <x:c r="AA126" s="9" t="str">
        <x:f>IF(A126="","",IF(COUNTIFS($A$6:$A$205,A126)&gt;1,"Duplicate task ID",IF(COUNTIFS($B$6:$B$205,B126,$D$6:$D$205,D126,$E$6:$E$205,E126,$F$6:$F$205,F126)&gt;1,"Duplicate cycle/instrument",IF(OR(B126="",C126="Check roster",C126="Site missing",D126="",E126="",F126="",G126="",G126="Needs verification",K126="",S126="",U126="",X126=""),"Missing core fields",IF(AND(OR(K126="Complete",K126="Received partial"),O126=""),"Missing completion date",IF(AND(U126="Verified submitted",OR(V126="",W126="",S126&lt;&gt;"Verified")),"Submission evidence gap",IF(AND(S126="Verified",T126=""),"Source evidence gap","Recorded")))))))</x:f>
      </x:c>
      <x:c r="AB126" s="9" t="str">
        <x:f>IF(A126="","",IF(OR(I126="",J126=""),"Undated",IF(AND(I126&gt;='Dashboard'!$B$6,I126&lt;='Dashboard'!$B$7),"In period","Outside period")))</x:f>
      </x:c>
      <x:c r="AC126" s="9" t="str">
        <x:f>IF(A126="","",IF(AND(OR(K126="Complete",K126="Received partial"),O126&lt;&gt;"",O126&lt;='Dashboard'!$B$4),1,0))</x:f>
      </x:c>
      <x:c r="AD126" s="9" t="str">
        <x:f>IF(A126="","",IF(AND(U126="Verified submitted",V126&lt;&gt;"",V126&lt;='Dashboard'!$B$4,W126&lt;&gt;"",S126="Verified",T126&lt;&gt;""),1,0))</x:f>
      </x:c>
      <x:c r="AE126" s="1"/>
      <x:c r="AF126" s="1"/>
      <x:c r="AG126" s="1"/>
      <x:c r="AH126" s="1"/>
    </x:row>
    <x:row r="127" ht="23" customHeight="1">
      <x:c r="A127" s="8"/>
      <x:c r="B127" s="8"/>
      <x:c r="C127" s="9" t="str">
        <x:f>IF(B127="","",IF(COUNTIFS('Roster'!$A$6:$A$205,B127)&lt;&gt;1,"Check roster",IF(INDEX('Roster'!$B$6:$B$205,MATCH(B127,'Roster'!$A$6:$A$205,0))="","Site missing",INDEX('Roster'!$B$6:$B$205,MATCH(B127,'Roster'!$A$6:$A$205,0)))))</x:f>
      </x:c>
      <x:c r="D127" s="6"/>
      <x:c r="E127" s="7"/>
      <x:c r="F127" s="6"/>
      <x:c r="G127" s="6"/>
      <x:c r="H127" s="6"/>
      <x:c r="I127" s="7"/>
      <x:c r="J127" s="6"/>
      <x:c r="K127" s="6"/>
      <x:c r="L127" s="7"/>
      <x:c r="M127" s="7"/>
      <x:c r="N127" s="7"/>
      <x:c r="O127" s="7"/>
      <x:c r="P127" s="7"/>
      <x:c r="Q127" s="6"/>
      <x:c r="R127" s="7"/>
      <x:c r="S127" s="6"/>
      <x:c r="T127" s="6"/>
      <x:c r="U127" s="6"/>
      <x:c r="V127" s="7"/>
      <x:c r="W127" s="6"/>
      <x:c r="X127" s="7"/>
      <x:c r="Y127" s="9" t="str">
        <x:f>IF(A127="","",IF(OR(K127="Complete",K127="Declined",K127="Closed without data"),"Collection closed",IF(OR(I127="",J127=""),"Date unverified",IF(I127&lt;'Dashboard'!$B$4,"Overdue",IF(I127&lt;='Dashboard'!$B$4+'Dashboard'!$B$5,"Due soon","Later")))))</x:f>
      </x:c>
      <x:c r="Z127" s="9" t="str">
        <x:f>IF(A127="","",IF(H127="","Unassigned",IF(AND(L127&lt;&gt;"",M127=""),"Awaiting acknowledgement",IF(AND(R127&lt;&gt;"",R127&lt;'Dashboard'!$B$4),"Action date passed",IF(AND(OR(K127="Not started",K127="In progress",K127="Awaiting return",K127="Received partial",K127="Unable to reach"),OR(Q127="",R127="")),"Next action missing","No handoff flag")))))</x:f>
      </x:c>
      <x:c r="AA127" s="9" t="str">
        <x:f>IF(A127="","",IF(COUNTIFS($A$6:$A$205,A127)&gt;1,"Duplicate task ID",IF(COUNTIFS($B$6:$B$205,B127,$D$6:$D$205,D127,$E$6:$E$205,E127,$F$6:$F$205,F127)&gt;1,"Duplicate cycle/instrument",IF(OR(B127="",C127="Check roster",C127="Site missing",D127="",E127="",F127="",G127="",G127="Needs verification",K127="",S127="",U127="",X127=""),"Missing core fields",IF(AND(OR(K127="Complete",K127="Received partial"),O127=""),"Missing completion date",IF(AND(U127="Verified submitted",OR(V127="",W127="",S127&lt;&gt;"Verified")),"Submission evidence gap",IF(AND(S127="Verified",T127=""),"Source evidence gap","Recorded")))))))</x:f>
      </x:c>
      <x:c r="AB127" s="9" t="str">
        <x:f>IF(A127="","",IF(OR(I127="",J127=""),"Undated",IF(AND(I127&gt;='Dashboard'!$B$6,I127&lt;='Dashboard'!$B$7),"In period","Outside period")))</x:f>
      </x:c>
      <x:c r="AC127" s="9" t="str">
        <x:f>IF(A127="","",IF(AND(OR(K127="Complete",K127="Received partial"),O127&lt;&gt;"",O127&lt;='Dashboard'!$B$4),1,0))</x:f>
      </x:c>
      <x:c r="AD127" s="9" t="str">
        <x:f>IF(A127="","",IF(AND(U127="Verified submitted",V127&lt;&gt;"",V127&lt;='Dashboard'!$B$4,W127&lt;&gt;"",S127="Verified",T127&lt;&gt;""),1,0))</x:f>
      </x:c>
      <x:c r="AE127" s="1"/>
      <x:c r="AF127" s="1"/>
      <x:c r="AG127" s="1"/>
      <x:c r="AH127" s="1"/>
    </x:row>
    <x:row r="128" ht="23" customHeight="1">
      <x:c r="A128" s="8"/>
      <x:c r="B128" s="8"/>
      <x:c r="C128" s="9" t="str">
        <x:f>IF(B128="","",IF(COUNTIFS('Roster'!$A$6:$A$205,B128)&lt;&gt;1,"Check roster",IF(INDEX('Roster'!$B$6:$B$205,MATCH(B128,'Roster'!$A$6:$A$205,0))="","Site missing",INDEX('Roster'!$B$6:$B$205,MATCH(B128,'Roster'!$A$6:$A$205,0)))))</x:f>
      </x:c>
      <x:c r="D128" s="6"/>
      <x:c r="E128" s="7"/>
      <x:c r="F128" s="6"/>
      <x:c r="G128" s="6"/>
      <x:c r="H128" s="6"/>
      <x:c r="I128" s="7"/>
      <x:c r="J128" s="6"/>
      <x:c r="K128" s="6"/>
      <x:c r="L128" s="7"/>
      <x:c r="M128" s="7"/>
      <x:c r="N128" s="7"/>
      <x:c r="O128" s="7"/>
      <x:c r="P128" s="7"/>
      <x:c r="Q128" s="6"/>
      <x:c r="R128" s="7"/>
      <x:c r="S128" s="6"/>
      <x:c r="T128" s="6"/>
      <x:c r="U128" s="6"/>
      <x:c r="V128" s="7"/>
      <x:c r="W128" s="6"/>
      <x:c r="X128" s="7"/>
      <x:c r="Y128" s="9" t="str">
        <x:f>IF(A128="","",IF(OR(K128="Complete",K128="Declined",K128="Closed without data"),"Collection closed",IF(OR(I128="",J128=""),"Date unverified",IF(I128&lt;'Dashboard'!$B$4,"Overdue",IF(I128&lt;='Dashboard'!$B$4+'Dashboard'!$B$5,"Due soon","Later")))))</x:f>
      </x:c>
      <x:c r="Z128" s="9" t="str">
        <x:f>IF(A128="","",IF(H128="","Unassigned",IF(AND(L128&lt;&gt;"",M128=""),"Awaiting acknowledgement",IF(AND(R128&lt;&gt;"",R128&lt;'Dashboard'!$B$4),"Action date passed",IF(AND(OR(K128="Not started",K128="In progress",K128="Awaiting return",K128="Received partial",K128="Unable to reach"),OR(Q128="",R128="")),"Next action missing","No handoff flag")))))</x:f>
      </x:c>
      <x:c r="AA128" s="9" t="str">
        <x:f>IF(A128="","",IF(COUNTIFS($A$6:$A$205,A128)&gt;1,"Duplicate task ID",IF(COUNTIFS($B$6:$B$205,B128,$D$6:$D$205,D128,$E$6:$E$205,E128,$F$6:$F$205,F128)&gt;1,"Duplicate cycle/instrument",IF(OR(B128="",C128="Check roster",C128="Site missing",D128="",E128="",F128="",G128="",G128="Needs verification",K128="",S128="",U128="",X128=""),"Missing core fields",IF(AND(OR(K128="Complete",K128="Received partial"),O128=""),"Missing completion date",IF(AND(U128="Verified submitted",OR(V128="",W128="",S128&lt;&gt;"Verified")),"Submission evidence gap",IF(AND(S128="Verified",T128=""),"Source evidence gap","Recorded")))))))</x:f>
      </x:c>
      <x:c r="AB128" s="9" t="str">
        <x:f>IF(A128="","",IF(OR(I128="",J128=""),"Undated",IF(AND(I128&gt;='Dashboard'!$B$6,I128&lt;='Dashboard'!$B$7),"In period","Outside period")))</x:f>
      </x:c>
      <x:c r="AC128" s="9" t="str">
        <x:f>IF(A128="","",IF(AND(OR(K128="Complete",K128="Received partial"),O128&lt;&gt;"",O128&lt;='Dashboard'!$B$4),1,0))</x:f>
      </x:c>
      <x:c r="AD128" s="9" t="str">
        <x:f>IF(A128="","",IF(AND(U128="Verified submitted",V128&lt;&gt;"",V128&lt;='Dashboard'!$B$4,W128&lt;&gt;"",S128="Verified",T128&lt;&gt;""),1,0))</x:f>
      </x:c>
      <x:c r="AE128" s="1"/>
      <x:c r="AF128" s="1"/>
      <x:c r="AG128" s="1"/>
      <x:c r="AH128" s="1"/>
    </x:row>
    <x:row r="129" ht="23" customHeight="1">
      <x:c r="A129" s="8"/>
      <x:c r="B129" s="8"/>
      <x:c r="C129" s="9" t="str">
        <x:f>IF(B129="","",IF(COUNTIFS('Roster'!$A$6:$A$205,B129)&lt;&gt;1,"Check roster",IF(INDEX('Roster'!$B$6:$B$205,MATCH(B129,'Roster'!$A$6:$A$205,0))="","Site missing",INDEX('Roster'!$B$6:$B$205,MATCH(B129,'Roster'!$A$6:$A$205,0)))))</x:f>
      </x:c>
      <x:c r="D129" s="6"/>
      <x:c r="E129" s="7"/>
      <x:c r="F129" s="6"/>
      <x:c r="G129" s="6"/>
      <x:c r="H129" s="6"/>
      <x:c r="I129" s="7"/>
      <x:c r="J129" s="6"/>
      <x:c r="K129" s="6"/>
      <x:c r="L129" s="7"/>
      <x:c r="M129" s="7"/>
      <x:c r="N129" s="7"/>
      <x:c r="O129" s="7"/>
      <x:c r="P129" s="7"/>
      <x:c r="Q129" s="6"/>
      <x:c r="R129" s="7"/>
      <x:c r="S129" s="6"/>
      <x:c r="T129" s="6"/>
      <x:c r="U129" s="6"/>
      <x:c r="V129" s="7"/>
      <x:c r="W129" s="6"/>
      <x:c r="X129" s="7"/>
      <x:c r="Y129" s="9" t="str">
        <x:f>IF(A129="","",IF(OR(K129="Complete",K129="Declined",K129="Closed without data"),"Collection closed",IF(OR(I129="",J129=""),"Date unverified",IF(I129&lt;'Dashboard'!$B$4,"Overdue",IF(I129&lt;='Dashboard'!$B$4+'Dashboard'!$B$5,"Due soon","Later")))))</x:f>
      </x:c>
      <x:c r="Z129" s="9" t="str">
        <x:f>IF(A129="","",IF(H129="","Unassigned",IF(AND(L129&lt;&gt;"",M129=""),"Awaiting acknowledgement",IF(AND(R129&lt;&gt;"",R129&lt;'Dashboard'!$B$4),"Action date passed",IF(AND(OR(K129="Not started",K129="In progress",K129="Awaiting return",K129="Received partial",K129="Unable to reach"),OR(Q129="",R129="")),"Next action missing","No handoff flag")))))</x:f>
      </x:c>
      <x:c r="AA129" s="9" t="str">
        <x:f>IF(A129="","",IF(COUNTIFS($A$6:$A$205,A129)&gt;1,"Duplicate task ID",IF(COUNTIFS($B$6:$B$205,B129,$D$6:$D$205,D129,$E$6:$E$205,E129,$F$6:$F$205,F129)&gt;1,"Duplicate cycle/instrument",IF(OR(B129="",C129="Check roster",C129="Site missing",D129="",E129="",F129="",G129="",G129="Needs verification",K129="",S129="",U129="",X129=""),"Missing core fields",IF(AND(OR(K129="Complete",K129="Received partial"),O129=""),"Missing completion date",IF(AND(U129="Verified submitted",OR(V129="",W129="",S129&lt;&gt;"Verified")),"Submission evidence gap",IF(AND(S129="Verified",T129=""),"Source evidence gap","Recorded")))))))</x:f>
      </x:c>
      <x:c r="AB129" s="9" t="str">
        <x:f>IF(A129="","",IF(OR(I129="",J129=""),"Undated",IF(AND(I129&gt;='Dashboard'!$B$6,I129&lt;='Dashboard'!$B$7),"In period","Outside period")))</x:f>
      </x:c>
      <x:c r="AC129" s="9" t="str">
        <x:f>IF(A129="","",IF(AND(OR(K129="Complete",K129="Received partial"),O129&lt;&gt;"",O129&lt;='Dashboard'!$B$4),1,0))</x:f>
      </x:c>
      <x:c r="AD129" s="9" t="str">
        <x:f>IF(A129="","",IF(AND(U129="Verified submitted",V129&lt;&gt;"",V129&lt;='Dashboard'!$B$4,W129&lt;&gt;"",S129="Verified",T129&lt;&gt;""),1,0))</x:f>
      </x:c>
      <x:c r="AE129" s="1"/>
      <x:c r="AF129" s="1"/>
      <x:c r="AG129" s="1"/>
      <x:c r="AH129" s="1"/>
    </x:row>
    <x:row r="130" ht="23" customHeight="1">
      <x:c r="A130" s="8"/>
      <x:c r="B130" s="8"/>
      <x:c r="C130" s="9" t="str">
        <x:f>IF(B130="","",IF(COUNTIFS('Roster'!$A$6:$A$205,B130)&lt;&gt;1,"Check roster",IF(INDEX('Roster'!$B$6:$B$205,MATCH(B130,'Roster'!$A$6:$A$205,0))="","Site missing",INDEX('Roster'!$B$6:$B$205,MATCH(B130,'Roster'!$A$6:$A$205,0)))))</x:f>
      </x:c>
      <x:c r="D130" s="6"/>
      <x:c r="E130" s="7"/>
      <x:c r="F130" s="6"/>
      <x:c r="G130" s="6"/>
      <x:c r="H130" s="6"/>
      <x:c r="I130" s="7"/>
      <x:c r="J130" s="6"/>
      <x:c r="K130" s="6"/>
      <x:c r="L130" s="7"/>
      <x:c r="M130" s="7"/>
      <x:c r="N130" s="7"/>
      <x:c r="O130" s="7"/>
      <x:c r="P130" s="7"/>
      <x:c r="Q130" s="6"/>
      <x:c r="R130" s="7"/>
      <x:c r="S130" s="6"/>
      <x:c r="T130" s="6"/>
      <x:c r="U130" s="6"/>
      <x:c r="V130" s="7"/>
      <x:c r="W130" s="6"/>
      <x:c r="X130" s="7"/>
      <x:c r="Y130" s="9" t="str">
        <x:f>IF(A130="","",IF(OR(K130="Complete",K130="Declined",K130="Closed without data"),"Collection closed",IF(OR(I130="",J130=""),"Date unverified",IF(I130&lt;'Dashboard'!$B$4,"Overdue",IF(I130&lt;='Dashboard'!$B$4+'Dashboard'!$B$5,"Due soon","Later")))))</x:f>
      </x:c>
      <x:c r="Z130" s="9" t="str">
        <x:f>IF(A130="","",IF(H130="","Unassigned",IF(AND(L130&lt;&gt;"",M130=""),"Awaiting acknowledgement",IF(AND(R130&lt;&gt;"",R130&lt;'Dashboard'!$B$4),"Action date passed",IF(AND(OR(K130="Not started",K130="In progress",K130="Awaiting return",K130="Received partial",K130="Unable to reach"),OR(Q130="",R130="")),"Next action missing","No handoff flag")))))</x:f>
      </x:c>
      <x:c r="AA130" s="9" t="str">
        <x:f>IF(A130="","",IF(COUNTIFS($A$6:$A$205,A130)&gt;1,"Duplicate task ID",IF(COUNTIFS($B$6:$B$205,B130,$D$6:$D$205,D130,$E$6:$E$205,E130,$F$6:$F$205,F130)&gt;1,"Duplicate cycle/instrument",IF(OR(B130="",C130="Check roster",C130="Site missing",D130="",E130="",F130="",G130="",G130="Needs verification",K130="",S130="",U130="",X130=""),"Missing core fields",IF(AND(OR(K130="Complete",K130="Received partial"),O130=""),"Missing completion date",IF(AND(U130="Verified submitted",OR(V130="",W130="",S130&lt;&gt;"Verified")),"Submission evidence gap",IF(AND(S130="Verified",T130=""),"Source evidence gap","Recorded")))))))</x:f>
      </x:c>
      <x:c r="AB130" s="9" t="str">
        <x:f>IF(A130="","",IF(OR(I130="",J130=""),"Undated",IF(AND(I130&gt;='Dashboard'!$B$6,I130&lt;='Dashboard'!$B$7),"In period","Outside period")))</x:f>
      </x:c>
      <x:c r="AC130" s="9" t="str">
        <x:f>IF(A130="","",IF(AND(OR(K130="Complete",K130="Received partial"),O130&lt;&gt;"",O130&lt;='Dashboard'!$B$4),1,0))</x:f>
      </x:c>
      <x:c r="AD130" s="9" t="str">
        <x:f>IF(A130="","",IF(AND(U130="Verified submitted",V130&lt;&gt;"",V130&lt;='Dashboard'!$B$4,W130&lt;&gt;"",S130="Verified",T130&lt;&gt;""),1,0))</x:f>
      </x:c>
      <x:c r="AE130" s="1"/>
      <x:c r="AF130" s="1"/>
      <x:c r="AG130" s="1"/>
      <x:c r="AH130" s="1"/>
    </x:row>
    <x:row r="131" ht="23" customHeight="1">
      <x:c r="A131" s="8"/>
      <x:c r="B131" s="8"/>
      <x:c r="C131" s="9" t="str">
        <x:f>IF(B131="","",IF(COUNTIFS('Roster'!$A$6:$A$205,B131)&lt;&gt;1,"Check roster",IF(INDEX('Roster'!$B$6:$B$205,MATCH(B131,'Roster'!$A$6:$A$205,0))="","Site missing",INDEX('Roster'!$B$6:$B$205,MATCH(B131,'Roster'!$A$6:$A$205,0)))))</x:f>
      </x:c>
      <x:c r="D131" s="6"/>
      <x:c r="E131" s="7"/>
      <x:c r="F131" s="6"/>
      <x:c r="G131" s="6"/>
      <x:c r="H131" s="6"/>
      <x:c r="I131" s="7"/>
      <x:c r="J131" s="6"/>
      <x:c r="K131" s="6"/>
      <x:c r="L131" s="7"/>
      <x:c r="M131" s="7"/>
      <x:c r="N131" s="7"/>
      <x:c r="O131" s="7"/>
      <x:c r="P131" s="7"/>
      <x:c r="Q131" s="6"/>
      <x:c r="R131" s="7"/>
      <x:c r="S131" s="6"/>
      <x:c r="T131" s="6"/>
      <x:c r="U131" s="6"/>
      <x:c r="V131" s="7"/>
      <x:c r="W131" s="6"/>
      <x:c r="X131" s="7"/>
      <x:c r="Y131" s="9" t="str">
        <x:f>IF(A131="","",IF(OR(K131="Complete",K131="Declined",K131="Closed without data"),"Collection closed",IF(OR(I131="",J131=""),"Date unverified",IF(I131&lt;'Dashboard'!$B$4,"Overdue",IF(I131&lt;='Dashboard'!$B$4+'Dashboard'!$B$5,"Due soon","Later")))))</x:f>
      </x:c>
      <x:c r="Z131" s="9" t="str">
        <x:f>IF(A131="","",IF(H131="","Unassigned",IF(AND(L131&lt;&gt;"",M131=""),"Awaiting acknowledgement",IF(AND(R131&lt;&gt;"",R131&lt;'Dashboard'!$B$4),"Action date passed",IF(AND(OR(K131="Not started",K131="In progress",K131="Awaiting return",K131="Received partial",K131="Unable to reach"),OR(Q131="",R131="")),"Next action missing","No handoff flag")))))</x:f>
      </x:c>
      <x:c r="AA131" s="9" t="str">
        <x:f>IF(A131="","",IF(COUNTIFS($A$6:$A$205,A131)&gt;1,"Duplicate task ID",IF(COUNTIFS($B$6:$B$205,B131,$D$6:$D$205,D131,$E$6:$E$205,E131,$F$6:$F$205,F131)&gt;1,"Duplicate cycle/instrument",IF(OR(B131="",C131="Check roster",C131="Site missing",D131="",E131="",F131="",G131="",G131="Needs verification",K131="",S131="",U131="",X131=""),"Missing core fields",IF(AND(OR(K131="Complete",K131="Received partial"),O131=""),"Missing completion date",IF(AND(U131="Verified submitted",OR(V131="",W131="",S131&lt;&gt;"Verified")),"Submission evidence gap",IF(AND(S131="Verified",T131=""),"Source evidence gap","Recorded")))))))</x:f>
      </x:c>
      <x:c r="AB131" s="9" t="str">
        <x:f>IF(A131="","",IF(OR(I131="",J131=""),"Undated",IF(AND(I131&gt;='Dashboard'!$B$6,I131&lt;='Dashboard'!$B$7),"In period","Outside period")))</x:f>
      </x:c>
      <x:c r="AC131" s="9" t="str">
        <x:f>IF(A131="","",IF(AND(OR(K131="Complete",K131="Received partial"),O131&lt;&gt;"",O131&lt;='Dashboard'!$B$4),1,0))</x:f>
      </x:c>
      <x:c r="AD131" s="9" t="str">
        <x:f>IF(A131="","",IF(AND(U131="Verified submitted",V131&lt;&gt;"",V131&lt;='Dashboard'!$B$4,W131&lt;&gt;"",S131="Verified",T131&lt;&gt;""),1,0))</x:f>
      </x:c>
      <x:c r="AE131" s="1"/>
      <x:c r="AF131" s="1"/>
      <x:c r="AG131" s="1"/>
      <x:c r="AH131" s="1"/>
    </x:row>
    <x:row r="132" ht="23" customHeight="1">
      <x:c r="A132" s="8"/>
      <x:c r="B132" s="8"/>
      <x:c r="C132" s="9" t="str">
        <x:f>IF(B132="","",IF(COUNTIFS('Roster'!$A$6:$A$205,B132)&lt;&gt;1,"Check roster",IF(INDEX('Roster'!$B$6:$B$205,MATCH(B132,'Roster'!$A$6:$A$205,0))="","Site missing",INDEX('Roster'!$B$6:$B$205,MATCH(B132,'Roster'!$A$6:$A$205,0)))))</x:f>
      </x:c>
      <x:c r="D132" s="6"/>
      <x:c r="E132" s="7"/>
      <x:c r="F132" s="6"/>
      <x:c r="G132" s="6"/>
      <x:c r="H132" s="6"/>
      <x:c r="I132" s="7"/>
      <x:c r="J132" s="6"/>
      <x:c r="K132" s="6"/>
      <x:c r="L132" s="7"/>
      <x:c r="M132" s="7"/>
      <x:c r="N132" s="7"/>
      <x:c r="O132" s="7"/>
      <x:c r="P132" s="7"/>
      <x:c r="Q132" s="6"/>
      <x:c r="R132" s="7"/>
      <x:c r="S132" s="6"/>
      <x:c r="T132" s="6"/>
      <x:c r="U132" s="6"/>
      <x:c r="V132" s="7"/>
      <x:c r="W132" s="6"/>
      <x:c r="X132" s="7"/>
      <x:c r="Y132" s="9" t="str">
        <x:f>IF(A132="","",IF(OR(K132="Complete",K132="Declined",K132="Closed without data"),"Collection closed",IF(OR(I132="",J132=""),"Date unverified",IF(I132&lt;'Dashboard'!$B$4,"Overdue",IF(I132&lt;='Dashboard'!$B$4+'Dashboard'!$B$5,"Due soon","Later")))))</x:f>
      </x:c>
      <x:c r="Z132" s="9" t="str">
        <x:f>IF(A132="","",IF(H132="","Unassigned",IF(AND(L132&lt;&gt;"",M132=""),"Awaiting acknowledgement",IF(AND(R132&lt;&gt;"",R132&lt;'Dashboard'!$B$4),"Action date passed",IF(AND(OR(K132="Not started",K132="In progress",K132="Awaiting return",K132="Received partial",K132="Unable to reach"),OR(Q132="",R132="")),"Next action missing","No handoff flag")))))</x:f>
      </x:c>
      <x:c r="AA132" s="9" t="str">
        <x:f>IF(A132="","",IF(COUNTIFS($A$6:$A$205,A132)&gt;1,"Duplicate task ID",IF(COUNTIFS($B$6:$B$205,B132,$D$6:$D$205,D132,$E$6:$E$205,E132,$F$6:$F$205,F132)&gt;1,"Duplicate cycle/instrument",IF(OR(B132="",C132="Check roster",C132="Site missing",D132="",E132="",F132="",G132="",G132="Needs verification",K132="",S132="",U132="",X132=""),"Missing core fields",IF(AND(OR(K132="Complete",K132="Received partial"),O132=""),"Missing completion date",IF(AND(U132="Verified submitted",OR(V132="",W132="",S132&lt;&gt;"Verified")),"Submission evidence gap",IF(AND(S132="Verified",T132=""),"Source evidence gap","Recorded")))))))</x:f>
      </x:c>
      <x:c r="AB132" s="9" t="str">
        <x:f>IF(A132="","",IF(OR(I132="",J132=""),"Undated",IF(AND(I132&gt;='Dashboard'!$B$6,I132&lt;='Dashboard'!$B$7),"In period","Outside period")))</x:f>
      </x:c>
      <x:c r="AC132" s="9" t="str">
        <x:f>IF(A132="","",IF(AND(OR(K132="Complete",K132="Received partial"),O132&lt;&gt;"",O132&lt;='Dashboard'!$B$4),1,0))</x:f>
      </x:c>
      <x:c r="AD132" s="9" t="str">
        <x:f>IF(A132="","",IF(AND(U132="Verified submitted",V132&lt;&gt;"",V132&lt;='Dashboard'!$B$4,W132&lt;&gt;"",S132="Verified",T132&lt;&gt;""),1,0))</x:f>
      </x:c>
      <x:c r="AE132" s="1"/>
      <x:c r="AF132" s="1"/>
      <x:c r="AG132" s="1"/>
      <x:c r="AH132" s="1"/>
    </x:row>
    <x:row r="133" ht="23" customHeight="1">
      <x:c r="A133" s="8"/>
      <x:c r="B133" s="8"/>
      <x:c r="C133" s="9" t="str">
        <x:f>IF(B133="","",IF(COUNTIFS('Roster'!$A$6:$A$205,B133)&lt;&gt;1,"Check roster",IF(INDEX('Roster'!$B$6:$B$205,MATCH(B133,'Roster'!$A$6:$A$205,0))="","Site missing",INDEX('Roster'!$B$6:$B$205,MATCH(B133,'Roster'!$A$6:$A$205,0)))))</x:f>
      </x:c>
      <x:c r="D133" s="6"/>
      <x:c r="E133" s="7"/>
      <x:c r="F133" s="6"/>
      <x:c r="G133" s="6"/>
      <x:c r="H133" s="6"/>
      <x:c r="I133" s="7"/>
      <x:c r="J133" s="6"/>
      <x:c r="K133" s="6"/>
      <x:c r="L133" s="7"/>
      <x:c r="M133" s="7"/>
      <x:c r="N133" s="7"/>
      <x:c r="O133" s="7"/>
      <x:c r="P133" s="7"/>
      <x:c r="Q133" s="6"/>
      <x:c r="R133" s="7"/>
      <x:c r="S133" s="6"/>
      <x:c r="T133" s="6"/>
      <x:c r="U133" s="6"/>
      <x:c r="V133" s="7"/>
      <x:c r="W133" s="6"/>
      <x:c r="X133" s="7"/>
      <x:c r="Y133" s="9" t="str">
        <x:f>IF(A133="","",IF(OR(K133="Complete",K133="Declined",K133="Closed without data"),"Collection closed",IF(OR(I133="",J133=""),"Date unverified",IF(I133&lt;'Dashboard'!$B$4,"Overdue",IF(I133&lt;='Dashboard'!$B$4+'Dashboard'!$B$5,"Due soon","Later")))))</x:f>
      </x:c>
      <x:c r="Z133" s="9" t="str">
        <x:f>IF(A133="","",IF(H133="","Unassigned",IF(AND(L133&lt;&gt;"",M133=""),"Awaiting acknowledgement",IF(AND(R133&lt;&gt;"",R133&lt;'Dashboard'!$B$4),"Action date passed",IF(AND(OR(K133="Not started",K133="In progress",K133="Awaiting return",K133="Received partial",K133="Unable to reach"),OR(Q133="",R133="")),"Next action missing","No handoff flag")))))</x:f>
      </x:c>
      <x:c r="AA133" s="9" t="str">
        <x:f>IF(A133="","",IF(COUNTIFS($A$6:$A$205,A133)&gt;1,"Duplicate task ID",IF(COUNTIFS($B$6:$B$205,B133,$D$6:$D$205,D133,$E$6:$E$205,E133,$F$6:$F$205,F133)&gt;1,"Duplicate cycle/instrument",IF(OR(B133="",C133="Check roster",C133="Site missing",D133="",E133="",F133="",G133="",G133="Needs verification",K133="",S133="",U133="",X133=""),"Missing core fields",IF(AND(OR(K133="Complete",K133="Received partial"),O133=""),"Missing completion date",IF(AND(U133="Verified submitted",OR(V133="",W133="",S133&lt;&gt;"Verified")),"Submission evidence gap",IF(AND(S133="Verified",T133=""),"Source evidence gap","Recorded")))))))</x:f>
      </x:c>
      <x:c r="AB133" s="9" t="str">
        <x:f>IF(A133="","",IF(OR(I133="",J133=""),"Undated",IF(AND(I133&gt;='Dashboard'!$B$6,I133&lt;='Dashboard'!$B$7),"In period","Outside period")))</x:f>
      </x:c>
      <x:c r="AC133" s="9" t="str">
        <x:f>IF(A133="","",IF(AND(OR(K133="Complete",K133="Received partial"),O133&lt;&gt;"",O133&lt;='Dashboard'!$B$4),1,0))</x:f>
      </x:c>
      <x:c r="AD133" s="9" t="str">
        <x:f>IF(A133="","",IF(AND(U133="Verified submitted",V133&lt;&gt;"",V133&lt;='Dashboard'!$B$4,W133&lt;&gt;"",S133="Verified",T133&lt;&gt;""),1,0))</x:f>
      </x:c>
      <x:c r="AE133" s="1"/>
      <x:c r="AF133" s="1"/>
      <x:c r="AG133" s="1"/>
      <x:c r="AH133" s="1"/>
    </x:row>
    <x:row r="134" ht="23" customHeight="1">
      <x:c r="A134" s="8"/>
      <x:c r="B134" s="8"/>
      <x:c r="C134" s="9" t="str">
        <x:f>IF(B134="","",IF(COUNTIFS('Roster'!$A$6:$A$205,B134)&lt;&gt;1,"Check roster",IF(INDEX('Roster'!$B$6:$B$205,MATCH(B134,'Roster'!$A$6:$A$205,0))="","Site missing",INDEX('Roster'!$B$6:$B$205,MATCH(B134,'Roster'!$A$6:$A$205,0)))))</x:f>
      </x:c>
      <x:c r="D134" s="6"/>
      <x:c r="E134" s="7"/>
      <x:c r="F134" s="6"/>
      <x:c r="G134" s="6"/>
      <x:c r="H134" s="6"/>
      <x:c r="I134" s="7"/>
      <x:c r="J134" s="6"/>
      <x:c r="K134" s="6"/>
      <x:c r="L134" s="7"/>
      <x:c r="M134" s="7"/>
      <x:c r="N134" s="7"/>
      <x:c r="O134" s="7"/>
      <x:c r="P134" s="7"/>
      <x:c r="Q134" s="6"/>
      <x:c r="R134" s="7"/>
      <x:c r="S134" s="6"/>
      <x:c r="T134" s="6"/>
      <x:c r="U134" s="6"/>
      <x:c r="V134" s="7"/>
      <x:c r="W134" s="6"/>
      <x:c r="X134" s="7"/>
      <x:c r="Y134" s="9" t="str">
        <x:f>IF(A134="","",IF(OR(K134="Complete",K134="Declined",K134="Closed without data"),"Collection closed",IF(OR(I134="",J134=""),"Date unverified",IF(I134&lt;'Dashboard'!$B$4,"Overdue",IF(I134&lt;='Dashboard'!$B$4+'Dashboard'!$B$5,"Due soon","Later")))))</x:f>
      </x:c>
      <x:c r="Z134" s="9" t="str">
        <x:f>IF(A134="","",IF(H134="","Unassigned",IF(AND(L134&lt;&gt;"",M134=""),"Awaiting acknowledgement",IF(AND(R134&lt;&gt;"",R134&lt;'Dashboard'!$B$4),"Action date passed",IF(AND(OR(K134="Not started",K134="In progress",K134="Awaiting return",K134="Received partial",K134="Unable to reach"),OR(Q134="",R134="")),"Next action missing","No handoff flag")))))</x:f>
      </x:c>
      <x:c r="AA134" s="9" t="str">
        <x:f>IF(A134="","",IF(COUNTIFS($A$6:$A$205,A134)&gt;1,"Duplicate task ID",IF(COUNTIFS($B$6:$B$205,B134,$D$6:$D$205,D134,$E$6:$E$205,E134,$F$6:$F$205,F134)&gt;1,"Duplicate cycle/instrument",IF(OR(B134="",C134="Check roster",C134="Site missing",D134="",E134="",F134="",G134="",G134="Needs verification",K134="",S134="",U134="",X134=""),"Missing core fields",IF(AND(OR(K134="Complete",K134="Received partial"),O134=""),"Missing completion date",IF(AND(U134="Verified submitted",OR(V134="",W134="",S134&lt;&gt;"Verified")),"Submission evidence gap",IF(AND(S134="Verified",T134=""),"Source evidence gap","Recorded")))))))</x:f>
      </x:c>
      <x:c r="AB134" s="9" t="str">
        <x:f>IF(A134="","",IF(OR(I134="",J134=""),"Undated",IF(AND(I134&gt;='Dashboard'!$B$6,I134&lt;='Dashboard'!$B$7),"In period","Outside period")))</x:f>
      </x:c>
      <x:c r="AC134" s="9" t="str">
        <x:f>IF(A134="","",IF(AND(OR(K134="Complete",K134="Received partial"),O134&lt;&gt;"",O134&lt;='Dashboard'!$B$4),1,0))</x:f>
      </x:c>
      <x:c r="AD134" s="9" t="str">
        <x:f>IF(A134="","",IF(AND(U134="Verified submitted",V134&lt;&gt;"",V134&lt;='Dashboard'!$B$4,W134&lt;&gt;"",S134="Verified",T134&lt;&gt;""),1,0))</x:f>
      </x:c>
      <x:c r="AE134" s="1"/>
      <x:c r="AF134" s="1"/>
      <x:c r="AG134" s="1"/>
      <x:c r="AH134" s="1"/>
    </x:row>
    <x:row r="135" ht="23" customHeight="1">
      <x:c r="A135" s="8"/>
      <x:c r="B135" s="8"/>
      <x:c r="C135" s="9" t="str">
        <x:f>IF(B135="","",IF(COUNTIFS('Roster'!$A$6:$A$205,B135)&lt;&gt;1,"Check roster",IF(INDEX('Roster'!$B$6:$B$205,MATCH(B135,'Roster'!$A$6:$A$205,0))="","Site missing",INDEX('Roster'!$B$6:$B$205,MATCH(B135,'Roster'!$A$6:$A$205,0)))))</x:f>
      </x:c>
      <x:c r="D135" s="6"/>
      <x:c r="E135" s="7"/>
      <x:c r="F135" s="6"/>
      <x:c r="G135" s="6"/>
      <x:c r="H135" s="6"/>
      <x:c r="I135" s="7"/>
      <x:c r="J135" s="6"/>
      <x:c r="K135" s="6"/>
      <x:c r="L135" s="7"/>
      <x:c r="M135" s="7"/>
      <x:c r="N135" s="7"/>
      <x:c r="O135" s="7"/>
      <x:c r="P135" s="7"/>
      <x:c r="Q135" s="6"/>
      <x:c r="R135" s="7"/>
      <x:c r="S135" s="6"/>
      <x:c r="T135" s="6"/>
      <x:c r="U135" s="6"/>
      <x:c r="V135" s="7"/>
      <x:c r="W135" s="6"/>
      <x:c r="X135" s="7"/>
      <x:c r="Y135" s="9" t="str">
        <x:f>IF(A135="","",IF(OR(K135="Complete",K135="Declined",K135="Closed without data"),"Collection closed",IF(OR(I135="",J135=""),"Date unverified",IF(I135&lt;'Dashboard'!$B$4,"Overdue",IF(I135&lt;='Dashboard'!$B$4+'Dashboard'!$B$5,"Due soon","Later")))))</x:f>
      </x:c>
      <x:c r="Z135" s="9" t="str">
        <x:f>IF(A135="","",IF(H135="","Unassigned",IF(AND(L135&lt;&gt;"",M135=""),"Awaiting acknowledgement",IF(AND(R135&lt;&gt;"",R135&lt;'Dashboard'!$B$4),"Action date passed",IF(AND(OR(K135="Not started",K135="In progress",K135="Awaiting return",K135="Received partial",K135="Unable to reach"),OR(Q135="",R135="")),"Next action missing","No handoff flag")))))</x:f>
      </x:c>
      <x:c r="AA135" s="9" t="str">
        <x:f>IF(A135="","",IF(COUNTIFS($A$6:$A$205,A135)&gt;1,"Duplicate task ID",IF(COUNTIFS($B$6:$B$205,B135,$D$6:$D$205,D135,$E$6:$E$205,E135,$F$6:$F$205,F135)&gt;1,"Duplicate cycle/instrument",IF(OR(B135="",C135="Check roster",C135="Site missing",D135="",E135="",F135="",G135="",G135="Needs verification",K135="",S135="",U135="",X135=""),"Missing core fields",IF(AND(OR(K135="Complete",K135="Received partial"),O135=""),"Missing completion date",IF(AND(U135="Verified submitted",OR(V135="",W135="",S135&lt;&gt;"Verified")),"Submission evidence gap",IF(AND(S135="Verified",T135=""),"Source evidence gap","Recorded")))))))</x:f>
      </x:c>
      <x:c r="AB135" s="9" t="str">
        <x:f>IF(A135="","",IF(OR(I135="",J135=""),"Undated",IF(AND(I135&gt;='Dashboard'!$B$6,I135&lt;='Dashboard'!$B$7),"In period","Outside period")))</x:f>
      </x:c>
      <x:c r="AC135" s="9" t="str">
        <x:f>IF(A135="","",IF(AND(OR(K135="Complete",K135="Received partial"),O135&lt;&gt;"",O135&lt;='Dashboard'!$B$4),1,0))</x:f>
      </x:c>
      <x:c r="AD135" s="9" t="str">
        <x:f>IF(A135="","",IF(AND(U135="Verified submitted",V135&lt;&gt;"",V135&lt;='Dashboard'!$B$4,W135&lt;&gt;"",S135="Verified",T135&lt;&gt;""),1,0))</x:f>
      </x:c>
      <x:c r="AE135" s="1"/>
      <x:c r="AF135" s="1"/>
      <x:c r="AG135" s="1"/>
      <x:c r="AH135" s="1"/>
    </x:row>
    <x:row r="136" ht="23" customHeight="1">
      <x:c r="A136" s="8"/>
      <x:c r="B136" s="8"/>
      <x:c r="C136" s="9" t="str">
        <x:f>IF(B136="","",IF(COUNTIFS('Roster'!$A$6:$A$205,B136)&lt;&gt;1,"Check roster",IF(INDEX('Roster'!$B$6:$B$205,MATCH(B136,'Roster'!$A$6:$A$205,0))="","Site missing",INDEX('Roster'!$B$6:$B$205,MATCH(B136,'Roster'!$A$6:$A$205,0)))))</x:f>
      </x:c>
      <x:c r="D136" s="6"/>
      <x:c r="E136" s="7"/>
      <x:c r="F136" s="6"/>
      <x:c r="G136" s="6"/>
      <x:c r="H136" s="6"/>
      <x:c r="I136" s="7"/>
      <x:c r="J136" s="6"/>
      <x:c r="K136" s="6"/>
      <x:c r="L136" s="7"/>
      <x:c r="M136" s="7"/>
      <x:c r="N136" s="7"/>
      <x:c r="O136" s="7"/>
      <x:c r="P136" s="7"/>
      <x:c r="Q136" s="6"/>
      <x:c r="R136" s="7"/>
      <x:c r="S136" s="6"/>
      <x:c r="T136" s="6"/>
      <x:c r="U136" s="6"/>
      <x:c r="V136" s="7"/>
      <x:c r="W136" s="6"/>
      <x:c r="X136" s="7"/>
      <x:c r="Y136" s="9" t="str">
        <x:f>IF(A136="","",IF(OR(K136="Complete",K136="Declined",K136="Closed without data"),"Collection closed",IF(OR(I136="",J136=""),"Date unverified",IF(I136&lt;'Dashboard'!$B$4,"Overdue",IF(I136&lt;='Dashboard'!$B$4+'Dashboard'!$B$5,"Due soon","Later")))))</x:f>
      </x:c>
      <x:c r="Z136" s="9" t="str">
        <x:f>IF(A136="","",IF(H136="","Unassigned",IF(AND(L136&lt;&gt;"",M136=""),"Awaiting acknowledgement",IF(AND(R136&lt;&gt;"",R136&lt;'Dashboard'!$B$4),"Action date passed",IF(AND(OR(K136="Not started",K136="In progress",K136="Awaiting return",K136="Received partial",K136="Unable to reach"),OR(Q136="",R136="")),"Next action missing","No handoff flag")))))</x:f>
      </x:c>
      <x:c r="AA136" s="9" t="str">
        <x:f>IF(A136="","",IF(COUNTIFS($A$6:$A$205,A136)&gt;1,"Duplicate task ID",IF(COUNTIFS($B$6:$B$205,B136,$D$6:$D$205,D136,$E$6:$E$205,E136,$F$6:$F$205,F136)&gt;1,"Duplicate cycle/instrument",IF(OR(B136="",C136="Check roster",C136="Site missing",D136="",E136="",F136="",G136="",G136="Needs verification",K136="",S136="",U136="",X136=""),"Missing core fields",IF(AND(OR(K136="Complete",K136="Received partial"),O136=""),"Missing completion date",IF(AND(U136="Verified submitted",OR(V136="",W136="",S136&lt;&gt;"Verified")),"Submission evidence gap",IF(AND(S136="Verified",T136=""),"Source evidence gap","Recorded")))))))</x:f>
      </x:c>
      <x:c r="AB136" s="9" t="str">
        <x:f>IF(A136="","",IF(OR(I136="",J136=""),"Undated",IF(AND(I136&gt;='Dashboard'!$B$6,I136&lt;='Dashboard'!$B$7),"In period","Outside period")))</x:f>
      </x:c>
      <x:c r="AC136" s="9" t="str">
        <x:f>IF(A136="","",IF(AND(OR(K136="Complete",K136="Received partial"),O136&lt;&gt;"",O136&lt;='Dashboard'!$B$4),1,0))</x:f>
      </x:c>
      <x:c r="AD136" s="9" t="str">
        <x:f>IF(A136="","",IF(AND(U136="Verified submitted",V136&lt;&gt;"",V136&lt;='Dashboard'!$B$4,W136&lt;&gt;"",S136="Verified",T136&lt;&gt;""),1,0))</x:f>
      </x:c>
      <x:c r="AE136" s="1"/>
      <x:c r="AF136" s="1"/>
      <x:c r="AG136" s="1"/>
      <x:c r="AH136" s="1"/>
    </x:row>
    <x:row r="137" ht="23" customHeight="1">
      <x:c r="A137" s="8"/>
      <x:c r="B137" s="8"/>
      <x:c r="C137" s="9" t="str">
        <x:f>IF(B137="","",IF(COUNTIFS('Roster'!$A$6:$A$205,B137)&lt;&gt;1,"Check roster",IF(INDEX('Roster'!$B$6:$B$205,MATCH(B137,'Roster'!$A$6:$A$205,0))="","Site missing",INDEX('Roster'!$B$6:$B$205,MATCH(B137,'Roster'!$A$6:$A$205,0)))))</x:f>
      </x:c>
      <x:c r="D137" s="6"/>
      <x:c r="E137" s="7"/>
      <x:c r="F137" s="6"/>
      <x:c r="G137" s="6"/>
      <x:c r="H137" s="6"/>
      <x:c r="I137" s="7"/>
      <x:c r="J137" s="6"/>
      <x:c r="K137" s="6"/>
      <x:c r="L137" s="7"/>
      <x:c r="M137" s="7"/>
      <x:c r="N137" s="7"/>
      <x:c r="O137" s="7"/>
      <x:c r="P137" s="7"/>
      <x:c r="Q137" s="6"/>
      <x:c r="R137" s="7"/>
      <x:c r="S137" s="6"/>
      <x:c r="T137" s="6"/>
      <x:c r="U137" s="6"/>
      <x:c r="V137" s="7"/>
      <x:c r="W137" s="6"/>
      <x:c r="X137" s="7"/>
      <x:c r="Y137" s="9" t="str">
        <x:f>IF(A137="","",IF(OR(K137="Complete",K137="Declined",K137="Closed without data"),"Collection closed",IF(OR(I137="",J137=""),"Date unverified",IF(I137&lt;'Dashboard'!$B$4,"Overdue",IF(I137&lt;='Dashboard'!$B$4+'Dashboard'!$B$5,"Due soon","Later")))))</x:f>
      </x:c>
      <x:c r="Z137" s="9" t="str">
        <x:f>IF(A137="","",IF(H137="","Unassigned",IF(AND(L137&lt;&gt;"",M137=""),"Awaiting acknowledgement",IF(AND(R137&lt;&gt;"",R137&lt;'Dashboard'!$B$4),"Action date passed",IF(AND(OR(K137="Not started",K137="In progress",K137="Awaiting return",K137="Received partial",K137="Unable to reach"),OR(Q137="",R137="")),"Next action missing","No handoff flag")))))</x:f>
      </x:c>
      <x:c r="AA137" s="9" t="str">
        <x:f>IF(A137="","",IF(COUNTIFS($A$6:$A$205,A137)&gt;1,"Duplicate task ID",IF(COUNTIFS($B$6:$B$205,B137,$D$6:$D$205,D137,$E$6:$E$205,E137,$F$6:$F$205,F137)&gt;1,"Duplicate cycle/instrument",IF(OR(B137="",C137="Check roster",C137="Site missing",D137="",E137="",F137="",G137="",G137="Needs verification",K137="",S137="",U137="",X137=""),"Missing core fields",IF(AND(OR(K137="Complete",K137="Received partial"),O137=""),"Missing completion date",IF(AND(U137="Verified submitted",OR(V137="",W137="",S137&lt;&gt;"Verified")),"Submission evidence gap",IF(AND(S137="Verified",T137=""),"Source evidence gap","Recorded")))))))</x:f>
      </x:c>
      <x:c r="AB137" s="9" t="str">
        <x:f>IF(A137="","",IF(OR(I137="",J137=""),"Undated",IF(AND(I137&gt;='Dashboard'!$B$6,I137&lt;='Dashboard'!$B$7),"In period","Outside period")))</x:f>
      </x:c>
      <x:c r="AC137" s="9" t="str">
        <x:f>IF(A137="","",IF(AND(OR(K137="Complete",K137="Received partial"),O137&lt;&gt;"",O137&lt;='Dashboard'!$B$4),1,0))</x:f>
      </x:c>
      <x:c r="AD137" s="9" t="str">
        <x:f>IF(A137="","",IF(AND(U137="Verified submitted",V137&lt;&gt;"",V137&lt;='Dashboard'!$B$4,W137&lt;&gt;"",S137="Verified",T137&lt;&gt;""),1,0))</x:f>
      </x:c>
      <x:c r="AE137" s="1"/>
      <x:c r="AF137" s="1"/>
      <x:c r="AG137" s="1"/>
      <x:c r="AH137" s="1"/>
    </x:row>
    <x:row r="138" ht="23" customHeight="1">
      <x:c r="A138" s="8"/>
      <x:c r="B138" s="8"/>
      <x:c r="C138" s="9" t="str">
        <x:f>IF(B138="","",IF(COUNTIFS('Roster'!$A$6:$A$205,B138)&lt;&gt;1,"Check roster",IF(INDEX('Roster'!$B$6:$B$205,MATCH(B138,'Roster'!$A$6:$A$205,0))="","Site missing",INDEX('Roster'!$B$6:$B$205,MATCH(B138,'Roster'!$A$6:$A$205,0)))))</x:f>
      </x:c>
      <x:c r="D138" s="6"/>
      <x:c r="E138" s="7"/>
      <x:c r="F138" s="6"/>
      <x:c r="G138" s="6"/>
      <x:c r="H138" s="6"/>
      <x:c r="I138" s="7"/>
      <x:c r="J138" s="6"/>
      <x:c r="K138" s="6"/>
      <x:c r="L138" s="7"/>
      <x:c r="M138" s="7"/>
      <x:c r="N138" s="7"/>
      <x:c r="O138" s="7"/>
      <x:c r="P138" s="7"/>
      <x:c r="Q138" s="6"/>
      <x:c r="R138" s="7"/>
      <x:c r="S138" s="6"/>
      <x:c r="T138" s="6"/>
      <x:c r="U138" s="6"/>
      <x:c r="V138" s="7"/>
      <x:c r="W138" s="6"/>
      <x:c r="X138" s="7"/>
      <x:c r="Y138" s="9" t="str">
        <x:f>IF(A138="","",IF(OR(K138="Complete",K138="Declined",K138="Closed without data"),"Collection closed",IF(OR(I138="",J138=""),"Date unverified",IF(I138&lt;'Dashboard'!$B$4,"Overdue",IF(I138&lt;='Dashboard'!$B$4+'Dashboard'!$B$5,"Due soon","Later")))))</x:f>
      </x:c>
      <x:c r="Z138" s="9" t="str">
        <x:f>IF(A138="","",IF(H138="","Unassigned",IF(AND(L138&lt;&gt;"",M138=""),"Awaiting acknowledgement",IF(AND(R138&lt;&gt;"",R138&lt;'Dashboard'!$B$4),"Action date passed",IF(AND(OR(K138="Not started",K138="In progress",K138="Awaiting return",K138="Received partial",K138="Unable to reach"),OR(Q138="",R138="")),"Next action missing","No handoff flag")))))</x:f>
      </x:c>
      <x:c r="AA138" s="9" t="str">
        <x:f>IF(A138="","",IF(COUNTIFS($A$6:$A$205,A138)&gt;1,"Duplicate task ID",IF(COUNTIFS($B$6:$B$205,B138,$D$6:$D$205,D138,$E$6:$E$205,E138,$F$6:$F$205,F138)&gt;1,"Duplicate cycle/instrument",IF(OR(B138="",C138="Check roster",C138="Site missing",D138="",E138="",F138="",G138="",G138="Needs verification",K138="",S138="",U138="",X138=""),"Missing core fields",IF(AND(OR(K138="Complete",K138="Received partial"),O138=""),"Missing completion date",IF(AND(U138="Verified submitted",OR(V138="",W138="",S138&lt;&gt;"Verified")),"Submission evidence gap",IF(AND(S138="Verified",T138=""),"Source evidence gap","Recorded")))))))</x:f>
      </x:c>
      <x:c r="AB138" s="9" t="str">
        <x:f>IF(A138="","",IF(OR(I138="",J138=""),"Undated",IF(AND(I138&gt;='Dashboard'!$B$6,I138&lt;='Dashboard'!$B$7),"In period","Outside period")))</x:f>
      </x:c>
      <x:c r="AC138" s="9" t="str">
        <x:f>IF(A138="","",IF(AND(OR(K138="Complete",K138="Received partial"),O138&lt;&gt;"",O138&lt;='Dashboard'!$B$4),1,0))</x:f>
      </x:c>
      <x:c r="AD138" s="9" t="str">
        <x:f>IF(A138="","",IF(AND(U138="Verified submitted",V138&lt;&gt;"",V138&lt;='Dashboard'!$B$4,W138&lt;&gt;"",S138="Verified",T138&lt;&gt;""),1,0))</x:f>
      </x:c>
      <x:c r="AE138" s="1"/>
      <x:c r="AF138" s="1"/>
      <x:c r="AG138" s="1"/>
      <x:c r="AH138" s="1"/>
    </x:row>
    <x:row r="139" ht="23" customHeight="1">
      <x:c r="A139" s="8"/>
      <x:c r="B139" s="8"/>
      <x:c r="C139" s="9" t="str">
        <x:f>IF(B139="","",IF(COUNTIFS('Roster'!$A$6:$A$205,B139)&lt;&gt;1,"Check roster",IF(INDEX('Roster'!$B$6:$B$205,MATCH(B139,'Roster'!$A$6:$A$205,0))="","Site missing",INDEX('Roster'!$B$6:$B$205,MATCH(B139,'Roster'!$A$6:$A$205,0)))))</x:f>
      </x:c>
      <x:c r="D139" s="6"/>
      <x:c r="E139" s="7"/>
      <x:c r="F139" s="6"/>
      <x:c r="G139" s="6"/>
      <x:c r="H139" s="6"/>
      <x:c r="I139" s="7"/>
      <x:c r="J139" s="6"/>
      <x:c r="K139" s="6"/>
      <x:c r="L139" s="7"/>
      <x:c r="M139" s="7"/>
      <x:c r="N139" s="7"/>
      <x:c r="O139" s="7"/>
      <x:c r="P139" s="7"/>
      <x:c r="Q139" s="6"/>
      <x:c r="R139" s="7"/>
      <x:c r="S139" s="6"/>
      <x:c r="T139" s="6"/>
      <x:c r="U139" s="6"/>
      <x:c r="V139" s="7"/>
      <x:c r="W139" s="6"/>
      <x:c r="X139" s="7"/>
      <x:c r="Y139" s="9" t="str">
        <x:f>IF(A139="","",IF(OR(K139="Complete",K139="Declined",K139="Closed without data"),"Collection closed",IF(OR(I139="",J139=""),"Date unverified",IF(I139&lt;'Dashboard'!$B$4,"Overdue",IF(I139&lt;='Dashboard'!$B$4+'Dashboard'!$B$5,"Due soon","Later")))))</x:f>
      </x:c>
      <x:c r="Z139" s="9" t="str">
        <x:f>IF(A139="","",IF(H139="","Unassigned",IF(AND(L139&lt;&gt;"",M139=""),"Awaiting acknowledgement",IF(AND(R139&lt;&gt;"",R139&lt;'Dashboard'!$B$4),"Action date passed",IF(AND(OR(K139="Not started",K139="In progress",K139="Awaiting return",K139="Received partial",K139="Unable to reach"),OR(Q139="",R139="")),"Next action missing","No handoff flag")))))</x:f>
      </x:c>
      <x:c r="AA139" s="9" t="str">
        <x:f>IF(A139="","",IF(COUNTIFS($A$6:$A$205,A139)&gt;1,"Duplicate task ID",IF(COUNTIFS($B$6:$B$205,B139,$D$6:$D$205,D139,$E$6:$E$205,E139,$F$6:$F$205,F139)&gt;1,"Duplicate cycle/instrument",IF(OR(B139="",C139="Check roster",C139="Site missing",D139="",E139="",F139="",G139="",G139="Needs verification",K139="",S139="",U139="",X139=""),"Missing core fields",IF(AND(OR(K139="Complete",K139="Received partial"),O139=""),"Missing completion date",IF(AND(U139="Verified submitted",OR(V139="",W139="",S139&lt;&gt;"Verified")),"Submission evidence gap",IF(AND(S139="Verified",T139=""),"Source evidence gap","Recorded")))))))</x:f>
      </x:c>
      <x:c r="AB139" s="9" t="str">
        <x:f>IF(A139="","",IF(OR(I139="",J139=""),"Undated",IF(AND(I139&gt;='Dashboard'!$B$6,I139&lt;='Dashboard'!$B$7),"In period","Outside period")))</x:f>
      </x:c>
      <x:c r="AC139" s="9" t="str">
        <x:f>IF(A139="","",IF(AND(OR(K139="Complete",K139="Received partial"),O139&lt;&gt;"",O139&lt;='Dashboard'!$B$4),1,0))</x:f>
      </x:c>
      <x:c r="AD139" s="9" t="str">
        <x:f>IF(A139="","",IF(AND(U139="Verified submitted",V139&lt;&gt;"",V139&lt;='Dashboard'!$B$4,W139&lt;&gt;"",S139="Verified",T139&lt;&gt;""),1,0))</x:f>
      </x:c>
      <x:c r="AE139" s="1"/>
      <x:c r="AF139" s="1"/>
      <x:c r="AG139" s="1"/>
      <x:c r="AH139" s="1"/>
    </x:row>
    <x:row r="140" ht="23" customHeight="1">
      <x:c r="A140" s="8"/>
      <x:c r="B140" s="8"/>
      <x:c r="C140" s="9" t="str">
        <x:f>IF(B140="","",IF(COUNTIFS('Roster'!$A$6:$A$205,B140)&lt;&gt;1,"Check roster",IF(INDEX('Roster'!$B$6:$B$205,MATCH(B140,'Roster'!$A$6:$A$205,0))="","Site missing",INDEX('Roster'!$B$6:$B$205,MATCH(B140,'Roster'!$A$6:$A$205,0)))))</x:f>
      </x:c>
      <x:c r="D140" s="6"/>
      <x:c r="E140" s="7"/>
      <x:c r="F140" s="6"/>
      <x:c r="G140" s="6"/>
      <x:c r="H140" s="6"/>
      <x:c r="I140" s="7"/>
      <x:c r="J140" s="6"/>
      <x:c r="K140" s="6"/>
      <x:c r="L140" s="7"/>
      <x:c r="M140" s="7"/>
      <x:c r="N140" s="7"/>
      <x:c r="O140" s="7"/>
      <x:c r="P140" s="7"/>
      <x:c r="Q140" s="6"/>
      <x:c r="R140" s="7"/>
      <x:c r="S140" s="6"/>
      <x:c r="T140" s="6"/>
      <x:c r="U140" s="6"/>
      <x:c r="V140" s="7"/>
      <x:c r="W140" s="6"/>
      <x:c r="X140" s="7"/>
      <x:c r="Y140" s="9" t="str">
        <x:f>IF(A140="","",IF(OR(K140="Complete",K140="Declined",K140="Closed without data"),"Collection closed",IF(OR(I140="",J140=""),"Date unverified",IF(I140&lt;'Dashboard'!$B$4,"Overdue",IF(I140&lt;='Dashboard'!$B$4+'Dashboard'!$B$5,"Due soon","Later")))))</x:f>
      </x:c>
      <x:c r="Z140" s="9" t="str">
        <x:f>IF(A140="","",IF(H140="","Unassigned",IF(AND(L140&lt;&gt;"",M140=""),"Awaiting acknowledgement",IF(AND(R140&lt;&gt;"",R140&lt;'Dashboard'!$B$4),"Action date passed",IF(AND(OR(K140="Not started",K140="In progress",K140="Awaiting return",K140="Received partial",K140="Unable to reach"),OR(Q140="",R140="")),"Next action missing","No handoff flag")))))</x:f>
      </x:c>
      <x:c r="AA140" s="9" t="str">
        <x:f>IF(A140="","",IF(COUNTIFS($A$6:$A$205,A140)&gt;1,"Duplicate task ID",IF(COUNTIFS($B$6:$B$205,B140,$D$6:$D$205,D140,$E$6:$E$205,E140,$F$6:$F$205,F140)&gt;1,"Duplicate cycle/instrument",IF(OR(B140="",C140="Check roster",C140="Site missing",D140="",E140="",F140="",G140="",G140="Needs verification",K140="",S140="",U140="",X140=""),"Missing core fields",IF(AND(OR(K140="Complete",K140="Received partial"),O140=""),"Missing completion date",IF(AND(U140="Verified submitted",OR(V140="",W140="",S140&lt;&gt;"Verified")),"Submission evidence gap",IF(AND(S140="Verified",T140=""),"Source evidence gap","Recorded")))))))</x:f>
      </x:c>
      <x:c r="AB140" s="9" t="str">
        <x:f>IF(A140="","",IF(OR(I140="",J140=""),"Undated",IF(AND(I140&gt;='Dashboard'!$B$6,I140&lt;='Dashboard'!$B$7),"In period","Outside period")))</x:f>
      </x:c>
      <x:c r="AC140" s="9" t="str">
        <x:f>IF(A140="","",IF(AND(OR(K140="Complete",K140="Received partial"),O140&lt;&gt;"",O140&lt;='Dashboard'!$B$4),1,0))</x:f>
      </x:c>
      <x:c r="AD140" s="9" t="str">
        <x:f>IF(A140="","",IF(AND(U140="Verified submitted",V140&lt;&gt;"",V140&lt;='Dashboard'!$B$4,W140&lt;&gt;"",S140="Verified",T140&lt;&gt;""),1,0))</x:f>
      </x:c>
      <x:c r="AE140" s="1"/>
      <x:c r="AF140" s="1"/>
      <x:c r="AG140" s="1"/>
      <x:c r="AH140" s="1"/>
    </x:row>
    <x:row r="141" ht="23" customHeight="1">
      <x:c r="A141" s="8"/>
      <x:c r="B141" s="8"/>
      <x:c r="C141" s="9" t="str">
        <x:f>IF(B141="","",IF(COUNTIFS('Roster'!$A$6:$A$205,B141)&lt;&gt;1,"Check roster",IF(INDEX('Roster'!$B$6:$B$205,MATCH(B141,'Roster'!$A$6:$A$205,0))="","Site missing",INDEX('Roster'!$B$6:$B$205,MATCH(B141,'Roster'!$A$6:$A$205,0)))))</x:f>
      </x:c>
      <x:c r="D141" s="6"/>
      <x:c r="E141" s="7"/>
      <x:c r="F141" s="6"/>
      <x:c r="G141" s="6"/>
      <x:c r="H141" s="6"/>
      <x:c r="I141" s="7"/>
      <x:c r="J141" s="6"/>
      <x:c r="K141" s="6"/>
      <x:c r="L141" s="7"/>
      <x:c r="M141" s="7"/>
      <x:c r="N141" s="7"/>
      <x:c r="O141" s="7"/>
      <x:c r="P141" s="7"/>
      <x:c r="Q141" s="6"/>
      <x:c r="R141" s="7"/>
      <x:c r="S141" s="6"/>
      <x:c r="T141" s="6"/>
      <x:c r="U141" s="6"/>
      <x:c r="V141" s="7"/>
      <x:c r="W141" s="6"/>
      <x:c r="X141" s="7"/>
      <x:c r="Y141" s="9" t="str">
        <x:f>IF(A141="","",IF(OR(K141="Complete",K141="Declined",K141="Closed without data"),"Collection closed",IF(OR(I141="",J141=""),"Date unverified",IF(I141&lt;'Dashboard'!$B$4,"Overdue",IF(I141&lt;='Dashboard'!$B$4+'Dashboard'!$B$5,"Due soon","Later")))))</x:f>
      </x:c>
      <x:c r="Z141" s="9" t="str">
        <x:f>IF(A141="","",IF(H141="","Unassigned",IF(AND(L141&lt;&gt;"",M141=""),"Awaiting acknowledgement",IF(AND(R141&lt;&gt;"",R141&lt;'Dashboard'!$B$4),"Action date passed",IF(AND(OR(K141="Not started",K141="In progress",K141="Awaiting return",K141="Received partial",K141="Unable to reach"),OR(Q141="",R141="")),"Next action missing","No handoff flag")))))</x:f>
      </x:c>
      <x:c r="AA141" s="9" t="str">
        <x:f>IF(A141="","",IF(COUNTIFS($A$6:$A$205,A141)&gt;1,"Duplicate task ID",IF(COUNTIFS($B$6:$B$205,B141,$D$6:$D$205,D141,$E$6:$E$205,E141,$F$6:$F$205,F141)&gt;1,"Duplicate cycle/instrument",IF(OR(B141="",C141="Check roster",C141="Site missing",D141="",E141="",F141="",G141="",G141="Needs verification",K141="",S141="",U141="",X141=""),"Missing core fields",IF(AND(OR(K141="Complete",K141="Received partial"),O141=""),"Missing completion date",IF(AND(U141="Verified submitted",OR(V141="",W141="",S141&lt;&gt;"Verified")),"Submission evidence gap",IF(AND(S141="Verified",T141=""),"Source evidence gap","Recorded")))))))</x:f>
      </x:c>
      <x:c r="AB141" s="9" t="str">
        <x:f>IF(A141="","",IF(OR(I141="",J141=""),"Undated",IF(AND(I141&gt;='Dashboard'!$B$6,I141&lt;='Dashboard'!$B$7),"In period","Outside period")))</x:f>
      </x:c>
      <x:c r="AC141" s="9" t="str">
        <x:f>IF(A141="","",IF(AND(OR(K141="Complete",K141="Received partial"),O141&lt;&gt;"",O141&lt;='Dashboard'!$B$4),1,0))</x:f>
      </x:c>
      <x:c r="AD141" s="9" t="str">
        <x:f>IF(A141="","",IF(AND(U141="Verified submitted",V141&lt;&gt;"",V141&lt;='Dashboard'!$B$4,W141&lt;&gt;"",S141="Verified",T141&lt;&gt;""),1,0))</x:f>
      </x:c>
      <x:c r="AE141" s="1"/>
      <x:c r="AF141" s="1"/>
      <x:c r="AG141" s="1"/>
      <x:c r="AH141" s="1"/>
    </x:row>
    <x:row r="142" ht="23" customHeight="1">
      <x:c r="A142" s="8"/>
      <x:c r="B142" s="8"/>
      <x:c r="C142" s="9" t="str">
        <x:f>IF(B142="","",IF(COUNTIFS('Roster'!$A$6:$A$205,B142)&lt;&gt;1,"Check roster",IF(INDEX('Roster'!$B$6:$B$205,MATCH(B142,'Roster'!$A$6:$A$205,0))="","Site missing",INDEX('Roster'!$B$6:$B$205,MATCH(B142,'Roster'!$A$6:$A$205,0)))))</x:f>
      </x:c>
      <x:c r="D142" s="6"/>
      <x:c r="E142" s="7"/>
      <x:c r="F142" s="6"/>
      <x:c r="G142" s="6"/>
      <x:c r="H142" s="6"/>
      <x:c r="I142" s="7"/>
      <x:c r="J142" s="6"/>
      <x:c r="K142" s="6"/>
      <x:c r="L142" s="7"/>
      <x:c r="M142" s="7"/>
      <x:c r="N142" s="7"/>
      <x:c r="O142" s="7"/>
      <x:c r="P142" s="7"/>
      <x:c r="Q142" s="6"/>
      <x:c r="R142" s="7"/>
      <x:c r="S142" s="6"/>
      <x:c r="T142" s="6"/>
      <x:c r="U142" s="6"/>
      <x:c r="V142" s="7"/>
      <x:c r="W142" s="6"/>
      <x:c r="X142" s="7"/>
      <x:c r="Y142" s="9" t="str">
        <x:f>IF(A142="","",IF(OR(K142="Complete",K142="Declined",K142="Closed without data"),"Collection closed",IF(OR(I142="",J142=""),"Date unverified",IF(I142&lt;'Dashboard'!$B$4,"Overdue",IF(I142&lt;='Dashboard'!$B$4+'Dashboard'!$B$5,"Due soon","Later")))))</x:f>
      </x:c>
      <x:c r="Z142" s="9" t="str">
        <x:f>IF(A142="","",IF(H142="","Unassigned",IF(AND(L142&lt;&gt;"",M142=""),"Awaiting acknowledgement",IF(AND(R142&lt;&gt;"",R142&lt;'Dashboard'!$B$4),"Action date passed",IF(AND(OR(K142="Not started",K142="In progress",K142="Awaiting return",K142="Received partial",K142="Unable to reach"),OR(Q142="",R142="")),"Next action missing","No handoff flag")))))</x:f>
      </x:c>
      <x:c r="AA142" s="9" t="str">
        <x:f>IF(A142="","",IF(COUNTIFS($A$6:$A$205,A142)&gt;1,"Duplicate task ID",IF(COUNTIFS($B$6:$B$205,B142,$D$6:$D$205,D142,$E$6:$E$205,E142,$F$6:$F$205,F142)&gt;1,"Duplicate cycle/instrument",IF(OR(B142="",C142="Check roster",C142="Site missing",D142="",E142="",F142="",G142="",G142="Needs verification",K142="",S142="",U142="",X142=""),"Missing core fields",IF(AND(OR(K142="Complete",K142="Received partial"),O142=""),"Missing completion date",IF(AND(U142="Verified submitted",OR(V142="",W142="",S142&lt;&gt;"Verified")),"Submission evidence gap",IF(AND(S142="Verified",T142=""),"Source evidence gap","Recorded")))))))</x:f>
      </x:c>
      <x:c r="AB142" s="9" t="str">
        <x:f>IF(A142="","",IF(OR(I142="",J142=""),"Undated",IF(AND(I142&gt;='Dashboard'!$B$6,I142&lt;='Dashboard'!$B$7),"In period","Outside period")))</x:f>
      </x:c>
      <x:c r="AC142" s="9" t="str">
        <x:f>IF(A142="","",IF(AND(OR(K142="Complete",K142="Received partial"),O142&lt;&gt;"",O142&lt;='Dashboard'!$B$4),1,0))</x:f>
      </x:c>
      <x:c r="AD142" s="9" t="str">
        <x:f>IF(A142="","",IF(AND(U142="Verified submitted",V142&lt;&gt;"",V142&lt;='Dashboard'!$B$4,W142&lt;&gt;"",S142="Verified",T142&lt;&gt;""),1,0))</x:f>
      </x:c>
      <x:c r="AE142" s="1"/>
      <x:c r="AF142" s="1"/>
      <x:c r="AG142" s="1"/>
      <x:c r="AH142" s="1"/>
    </x:row>
    <x:row r="143" ht="23" customHeight="1">
      <x:c r="A143" s="8"/>
      <x:c r="B143" s="8"/>
      <x:c r="C143" s="9" t="str">
        <x:f>IF(B143="","",IF(COUNTIFS('Roster'!$A$6:$A$205,B143)&lt;&gt;1,"Check roster",IF(INDEX('Roster'!$B$6:$B$205,MATCH(B143,'Roster'!$A$6:$A$205,0))="","Site missing",INDEX('Roster'!$B$6:$B$205,MATCH(B143,'Roster'!$A$6:$A$205,0)))))</x:f>
      </x:c>
      <x:c r="D143" s="6"/>
      <x:c r="E143" s="7"/>
      <x:c r="F143" s="6"/>
      <x:c r="G143" s="6"/>
      <x:c r="H143" s="6"/>
      <x:c r="I143" s="7"/>
      <x:c r="J143" s="6"/>
      <x:c r="K143" s="6"/>
      <x:c r="L143" s="7"/>
      <x:c r="M143" s="7"/>
      <x:c r="N143" s="7"/>
      <x:c r="O143" s="7"/>
      <x:c r="P143" s="7"/>
      <x:c r="Q143" s="6"/>
      <x:c r="R143" s="7"/>
      <x:c r="S143" s="6"/>
      <x:c r="T143" s="6"/>
      <x:c r="U143" s="6"/>
      <x:c r="V143" s="7"/>
      <x:c r="W143" s="6"/>
      <x:c r="X143" s="7"/>
      <x:c r="Y143" s="9" t="str">
        <x:f>IF(A143="","",IF(OR(K143="Complete",K143="Declined",K143="Closed without data"),"Collection closed",IF(OR(I143="",J143=""),"Date unverified",IF(I143&lt;'Dashboard'!$B$4,"Overdue",IF(I143&lt;='Dashboard'!$B$4+'Dashboard'!$B$5,"Due soon","Later")))))</x:f>
      </x:c>
      <x:c r="Z143" s="9" t="str">
        <x:f>IF(A143="","",IF(H143="","Unassigned",IF(AND(L143&lt;&gt;"",M143=""),"Awaiting acknowledgement",IF(AND(R143&lt;&gt;"",R143&lt;'Dashboard'!$B$4),"Action date passed",IF(AND(OR(K143="Not started",K143="In progress",K143="Awaiting return",K143="Received partial",K143="Unable to reach"),OR(Q143="",R143="")),"Next action missing","No handoff flag")))))</x:f>
      </x:c>
      <x:c r="AA143" s="9" t="str">
        <x:f>IF(A143="","",IF(COUNTIFS($A$6:$A$205,A143)&gt;1,"Duplicate task ID",IF(COUNTIFS($B$6:$B$205,B143,$D$6:$D$205,D143,$E$6:$E$205,E143,$F$6:$F$205,F143)&gt;1,"Duplicate cycle/instrument",IF(OR(B143="",C143="Check roster",C143="Site missing",D143="",E143="",F143="",G143="",G143="Needs verification",K143="",S143="",U143="",X143=""),"Missing core fields",IF(AND(OR(K143="Complete",K143="Received partial"),O143=""),"Missing completion date",IF(AND(U143="Verified submitted",OR(V143="",W143="",S143&lt;&gt;"Verified")),"Submission evidence gap",IF(AND(S143="Verified",T143=""),"Source evidence gap","Recorded")))))))</x:f>
      </x:c>
      <x:c r="AB143" s="9" t="str">
        <x:f>IF(A143="","",IF(OR(I143="",J143=""),"Undated",IF(AND(I143&gt;='Dashboard'!$B$6,I143&lt;='Dashboard'!$B$7),"In period","Outside period")))</x:f>
      </x:c>
      <x:c r="AC143" s="9" t="str">
        <x:f>IF(A143="","",IF(AND(OR(K143="Complete",K143="Received partial"),O143&lt;&gt;"",O143&lt;='Dashboard'!$B$4),1,0))</x:f>
      </x:c>
      <x:c r="AD143" s="9" t="str">
        <x:f>IF(A143="","",IF(AND(U143="Verified submitted",V143&lt;&gt;"",V143&lt;='Dashboard'!$B$4,W143&lt;&gt;"",S143="Verified",T143&lt;&gt;""),1,0))</x:f>
      </x:c>
      <x:c r="AE143" s="1"/>
      <x:c r="AF143" s="1"/>
      <x:c r="AG143" s="1"/>
      <x:c r="AH143" s="1"/>
    </x:row>
    <x:row r="144" ht="23" customHeight="1">
      <x:c r="A144" s="8"/>
      <x:c r="B144" s="8"/>
      <x:c r="C144" s="9" t="str">
        <x:f>IF(B144="","",IF(COUNTIFS('Roster'!$A$6:$A$205,B144)&lt;&gt;1,"Check roster",IF(INDEX('Roster'!$B$6:$B$205,MATCH(B144,'Roster'!$A$6:$A$205,0))="","Site missing",INDEX('Roster'!$B$6:$B$205,MATCH(B144,'Roster'!$A$6:$A$205,0)))))</x:f>
      </x:c>
      <x:c r="D144" s="6"/>
      <x:c r="E144" s="7"/>
      <x:c r="F144" s="6"/>
      <x:c r="G144" s="6"/>
      <x:c r="H144" s="6"/>
      <x:c r="I144" s="7"/>
      <x:c r="J144" s="6"/>
      <x:c r="K144" s="6"/>
      <x:c r="L144" s="7"/>
      <x:c r="M144" s="7"/>
      <x:c r="N144" s="7"/>
      <x:c r="O144" s="7"/>
      <x:c r="P144" s="7"/>
      <x:c r="Q144" s="6"/>
      <x:c r="R144" s="7"/>
      <x:c r="S144" s="6"/>
      <x:c r="T144" s="6"/>
      <x:c r="U144" s="6"/>
      <x:c r="V144" s="7"/>
      <x:c r="W144" s="6"/>
      <x:c r="X144" s="7"/>
      <x:c r="Y144" s="9" t="str">
        <x:f>IF(A144="","",IF(OR(K144="Complete",K144="Declined",K144="Closed without data"),"Collection closed",IF(OR(I144="",J144=""),"Date unverified",IF(I144&lt;'Dashboard'!$B$4,"Overdue",IF(I144&lt;='Dashboard'!$B$4+'Dashboard'!$B$5,"Due soon","Later")))))</x:f>
      </x:c>
      <x:c r="Z144" s="9" t="str">
        <x:f>IF(A144="","",IF(H144="","Unassigned",IF(AND(L144&lt;&gt;"",M144=""),"Awaiting acknowledgement",IF(AND(R144&lt;&gt;"",R144&lt;'Dashboard'!$B$4),"Action date passed",IF(AND(OR(K144="Not started",K144="In progress",K144="Awaiting return",K144="Received partial",K144="Unable to reach"),OR(Q144="",R144="")),"Next action missing","No handoff flag")))))</x:f>
      </x:c>
      <x:c r="AA144" s="9" t="str">
        <x:f>IF(A144="","",IF(COUNTIFS($A$6:$A$205,A144)&gt;1,"Duplicate task ID",IF(COUNTIFS($B$6:$B$205,B144,$D$6:$D$205,D144,$E$6:$E$205,E144,$F$6:$F$205,F144)&gt;1,"Duplicate cycle/instrument",IF(OR(B144="",C144="Check roster",C144="Site missing",D144="",E144="",F144="",G144="",G144="Needs verification",K144="",S144="",U144="",X144=""),"Missing core fields",IF(AND(OR(K144="Complete",K144="Received partial"),O144=""),"Missing completion date",IF(AND(U144="Verified submitted",OR(V144="",W144="",S144&lt;&gt;"Verified")),"Submission evidence gap",IF(AND(S144="Verified",T144=""),"Source evidence gap","Recorded")))))))</x:f>
      </x:c>
      <x:c r="AB144" s="9" t="str">
        <x:f>IF(A144="","",IF(OR(I144="",J144=""),"Undated",IF(AND(I144&gt;='Dashboard'!$B$6,I144&lt;='Dashboard'!$B$7),"In period","Outside period")))</x:f>
      </x:c>
      <x:c r="AC144" s="9" t="str">
        <x:f>IF(A144="","",IF(AND(OR(K144="Complete",K144="Received partial"),O144&lt;&gt;"",O144&lt;='Dashboard'!$B$4),1,0))</x:f>
      </x:c>
      <x:c r="AD144" s="9" t="str">
        <x:f>IF(A144="","",IF(AND(U144="Verified submitted",V144&lt;&gt;"",V144&lt;='Dashboard'!$B$4,W144&lt;&gt;"",S144="Verified",T144&lt;&gt;""),1,0))</x:f>
      </x:c>
      <x:c r="AE144" s="1"/>
      <x:c r="AF144" s="1"/>
      <x:c r="AG144" s="1"/>
      <x:c r="AH144" s="1"/>
    </x:row>
    <x:row r="145" ht="23" customHeight="1">
      <x:c r="A145" s="8"/>
      <x:c r="B145" s="8"/>
      <x:c r="C145" s="9" t="str">
        <x:f>IF(B145="","",IF(COUNTIFS('Roster'!$A$6:$A$205,B145)&lt;&gt;1,"Check roster",IF(INDEX('Roster'!$B$6:$B$205,MATCH(B145,'Roster'!$A$6:$A$205,0))="","Site missing",INDEX('Roster'!$B$6:$B$205,MATCH(B145,'Roster'!$A$6:$A$205,0)))))</x:f>
      </x:c>
      <x:c r="D145" s="6"/>
      <x:c r="E145" s="7"/>
      <x:c r="F145" s="6"/>
      <x:c r="G145" s="6"/>
      <x:c r="H145" s="6"/>
      <x:c r="I145" s="7"/>
      <x:c r="J145" s="6"/>
      <x:c r="K145" s="6"/>
      <x:c r="L145" s="7"/>
      <x:c r="M145" s="7"/>
      <x:c r="N145" s="7"/>
      <x:c r="O145" s="7"/>
      <x:c r="P145" s="7"/>
      <x:c r="Q145" s="6"/>
      <x:c r="R145" s="7"/>
      <x:c r="S145" s="6"/>
      <x:c r="T145" s="6"/>
      <x:c r="U145" s="6"/>
      <x:c r="V145" s="7"/>
      <x:c r="W145" s="6"/>
      <x:c r="X145" s="7"/>
      <x:c r="Y145" s="9" t="str">
        <x:f>IF(A145="","",IF(OR(K145="Complete",K145="Declined",K145="Closed without data"),"Collection closed",IF(OR(I145="",J145=""),"Date unverified",IF(I145&lt;'Dashboard'!$B$4,"Overdue",IF(I145&lt;='Dashboard'!$B$4+'Dashboard'!$B$5,"Due soon","Later")))))</x:f>
      </x:c>
      <x:c r="Z145" s="9" t="str">
        <x:f>IF(A145="","",IF(H145="","Unassigned",IF(AND(L145&lt;&gt;"",M145=""),"Awaiting acknowledgement",IF(AND(R145&lt;&gt;"",R145&lt;'Dashboard'!$B$4),"Action date passed",IF(AND(OR(K145="Not started",K145="In progress",K145="Awaiting return",K145="Received partial",K145="Unable to reach"),OR(Q145="",R145="")),"Next action missing","No handoff flag")))))</x:f>
      </x:c>
      <x:c r="AA145" s="9" t="str">
        <x:f>IF(A145="","",IF(COUNTIFS($A$6:$A$205,A145)&gt;1,"Duplicate task ID",IF(COUNTIFS($B$6:$B$205,B145,$D$6:$D$205,D145,$E$6:$E$205,E145,$F$6:$F$205,F145)&gt;1,"Duplicate cycle/instrument",IF(OR(B145="",C145="Check roster",C145="Site missing",D145="",E145="",F145="",G145="",G145="Needs verification",K145="",S145="",U145="",X145=""),"Missing core fields",IF(AND(OR(K145="Complete",K145="Received partial"),O145=""),"Missing completion date",IF(AND(U145="Verified submitted",OR(V145="",W145="",S145&lt;&gt;"Verified")),"Submission evidence gap",IF(AND(S145="Verified",T145=""),"Source evidence gap","Recorded")))))))</x:f>
      </x:c>
      <x:c r="AB145" s="9" t="str">
        <x:f>IF(A145="","",IF(OR(I145="",J145=""),"Undated",IF(AND(I145&gt;='Dashboard'!$B$6,I145&lt;='Dashboard'!$B$7),"In period","Outside period")))</x:f>
      </x:c>
      <x:c r="AC145" s="9" t="str">
        <x:f>IF(A145="","",IF(AND(OR(K145="Complete",K145="Received partial"),O145&lt;&gt;"",O145&lt;='Dashboard'!$B$4),1,0))</x:f>
      </x:c>
      <x:c r="AD145" s="9" t="str">
        <x:f>IF(A145="","",IF(AND(U145="Verified submitted",V145&lt;&gt;"",V145&lt;='Dashboard'!$B$4,W145&lt;&gt;"",S145="Verified",T145&lt;&gt;""),1,0))</x:f>
      </x:c>
      <x:c r="AE145" s="1"/>
      <x:c r="AF145" s="1"/>
      <x:c r="AG145" s="1"/>
      <x:c r="AH145" s="1"/>
    </x:row>
    <x:row r="146" ht="23" customHeight="1">
      <x:c r="A146" s="8"/>
      <x:c r="B146" s="8"/>
      <x:c r="C146" s="9" t="str">
        <x:f>IF(B146="","",IF(COUNTIFS('Roster'!$A$6:$A$205,B146)&lt;&gt;1,"Check roster",IF(INDEX('Roster'!$B$6:$B$205,MATCH(B146,'Roster'!$A$6:$A$205,0))="","Site missing",INDEX('Roster'!$B$6:$B$205,MATCH(B146,'Roster'!$A$6:$A$205,0)))))</x:f>
      </x:c>
      <x:c r="D146" s="6"/>
      <x:c r="E146" s="7"/>
      <x:c r="F146" s="6"/>
      <x:c r="G146" s="6"/>
      <x:c r="H146" s="6"/>
      <x:c r="I146" s="7"/>
      <x:c r="J146" s="6"/>
      <x:c r="K146" s="6"/>
      <x:c r="L146" s="7"/>
      <x:c r="M146" s="7"/>
      <x:c r="N146" s="7"/>
      <x:c r="O146" s="7"/>
      <x:c r="P146" s="7"/>
      <x:c r="Q146" s="6"/>
      <x:c r="R146" s="7"/>
      <x:c r="S146" s="6"/>
      <x:c r="T146" s="6"/>
      <x:c r="U146" s="6"/>
      <x:c r="V146" s="7"/>
      <x:c r="W146" s="6"/>
      <x:c r="X146" s="7"/>
      <x:c r="Y146" s="9" t="str">
        <x:f>IF(A146="","",IF(OR(K146="Complete",K146="Declined",K146="Closed without data"),"Collection closed",IF(OR(I146="",J146=""),"Date unverified",IF(I146&lt;'Dashboard'!$B$4,"Overdue",IF(I146&lt;='Dashboard'!$B$4+'Dashboard'!$B$5,"Due soon","Later")))))</x:f>
      </x:c>
      <x:c r="Z146" s="9" t="str">
        <x:f>IF(A146="","",IF(H146="","Unassigned",IF(AND(L146&lt;&gt;"",M146=""),"Awaiting acknowledgement",IF(AND(R146&lt;&gt;"",R146&lt;'Dashboard'!$B$4),"Action date passed",IF(AND(OR(K146="Not started",K146="In progress",K146="Awaiting return",K146="Received partial",K146="Unable to reach"),OR(Q146="",R146="")),"Next action missing","No handoff flag")))))</x:f>
      </x:c>
      <x:c r="AA146" s="9" t="str">
        <x:f>IF(A146="","",IF(COUNTIFS($A$6:$A$205,A146)&gt;1,"Duplicate task ID",IF(COUNTIFS($B$6:$B$205,B146,$D$6:$D$205,D146,$E$6:$E$205,E146,$F$6:$F$205,F146)&gt;1,"Duplicate cycle/instrument",IF(OR(B146="",C146="Check roster",C146="Site missing",D146="",E146="",F146="",G146="",G146="Needs verification",K146="",S146="",U146="",X146=""),"Missing core fields",IF(AND(OR(K146="Complete",K146="Received partial"),O146=""),"Missing completion date",IF(AND(U146="Verified submitted",OR(V146="",W146="",S146&lt;&gt;"Verified")),"Submission evidence gap",IF(AND(S146="Verified",T146=""),"Source evidence gap","Recorded")))))))</x:f>
      </x:c>
      <x:c r="AB146" s="9" t="str">
        <x:f>IF(A146="","",IF(OR(I146="",J146=""),"Undated",IF(AND(I146&gt;='Dashboard'!$B$6,I146&lt;='Dashboard'!$B$7),"In period","Outside period")))</x:f>
      </x:c>
      <x:c r="AC146" s="9" t="str">
        <x:f>IF(A146="","",IF(AND(OR(K146="Complete",K146="Received partial"),O146&lt;&gt;"",O146&lt;='Dashboard'!$B$4),1,0))</x:f>
      </x:c>
      <x:c r="AD146" s="9" t="str">
        <x:f>IF(A146="","",IF(AND(U146="Verified submitted",V146&lt;&gt;"",V146&lt;='Dashboard'!$B$4,W146&lt;&gt;"",S146="Verified",T146&lt;&gt;""),1,0))</x:f>
      </x:c>
      <x:c r="AE146" s="1"/>
      <x:c r="AF146" s="1"/>
      <x:c r="AG146" s="1"/>
      <x:c r="AH146" s="1"/>
    </x:row>
    <x:row r="147" ht="23" customHeight="1">
      <x:c r="A147" s="8"/>
      <x:c r="B147" s="8"/>
      <x:c r="C147" s="9" t="str">
        <x:f>IF(B147="","",IF(COUNTIFS('Roster'!$A$6:$A$205,B147)&lt;&gt;1,"Check roster",IF(INDEX('Roster'!$B$6:$B$205,MATCH(B147,'Roster'!$A$6:$A$205,0))="","Site missing",INDEX('Roster'!$B$6:$B$205,MATCH(B147,'Roster'!$A$6:$A$205,0)))))</x:f>
      </x:c>
      <x:c r="D147" s="6"/>
      <x:c r="E147" s="7"/>
      <x:c r="F147" s="6"/>
      <x:c r="G147" s="6"/>
      <x:c r="H147" s="6"/>
      <x:c r="I147" s="7"/>
      <x:c r="J147" s="6"/>
      <x:c r="K147" s="6"/>
      <x:c r="L147" s="7"/>
      <x:c r="M147" s="7"/>
      <x:c r="N147" s="7"/>
      <x:c r="O147" s="7"/>
      <x:c r="P147" s="7"/>
      <x:c r="Q147" s="6"/>
      <x:c r="R147" s="7"/>
      <x:c r="S147" s="6"/>
      <x:c r="T147" s="6"/>
      <x:c r="U147" s="6"/>
      <x:c r="V147" s="7"/>
      <x:c r="W147" s="6"/>
      <x:c r="X147" s="7"/>
      <x:c r="Y147" s="9" t="str">
        <x:f>IF(A147="","",IF(OR(K147="Complete",K147="Declined",K147="Closed without data"),"Collection closed",IF(OR(I147="",J147=""),"Date unverified",IF(I147&lt;'Dashboard'!$B$4,"Overdue",IF(I147&lt;='Dashboard'!$B$4+'Dashboard'!$B$5,"Due soon","Later")))))</x:f>
      </x:c>
      <x:c r="Z147" s="9" t="str">
        <x:f>IF(A147="","",IF(H147="","Unassigned",IF(AND(L147&lt;&gt;"",M147=""),"Awaiting acknowledgement",IF(AND(R147&lt;&gt;"",R147&lt;'Dashboard'!$B$4),"Action date passed",IF(AND(OR(K147="Not started",K147="In progress",K147="Awaiting return",K147="Received partial",K147="Unable to reach"),OR(Q147="",R147="")),"Next action missing","No handoff flag")))))</x:f>
      </x:c>
      <x:c r="AA147" s="9" t="str">
        <x:f>IF(A147="","",IF(COUNTIFS($A$6:$A$205,A147)&gt;1,"Duplicate task ID",IF(COUNTIFS($B$6:$B$205,B147,$D$6:$D$205,D147,$E$6:$E$205,E147,$F$6:$F$205,F147)&gt;1,"Duplicate cycle/instrument",IF(OR(B147="",C147="Check roster",C147="Site missing",D147="",E147="",F147="",G147="",G147="Needs verification",K147="",S147="",U147="",X147=""),"Missing core fields",IF(AND(OR(K147="Complete",K147="Received partial"),O147=""),"Missing completion date",IF(AND(U147="Verified submitted",OR(V147="",W147="",S147&lt;&gt;"Verified")),"Submission evidence gap",IF(AND(S147="Verified",T147=""),"Source evidence gap","Recorded")))))))</x:f>
      </x:c>
      <x:c r="AB147" s="9" t="str">
        <x:f>IF(A147="","",IF(OR(I147="",J147=""),"Undated",IF(AND(I147&gt;='Dashboard'!$B$6,I147&lt;='Dashboard'!$B$7),"In period","Outside period")))</x:f>
      </x:c>
      <x:c r="AC147" s="9" t="str">
        <x:f>IF(A147="","",IF(AND(OR(K147="Complete",K147="Received partial"),O147&lt;&gt;"",O147&lt;='Dashboard'!$B$4),1,0))</x:f>
      </x:c>
      <x:c r="AD147" s="9" t="str">
        <x:f>IF(A147="","",IF(AND(U147="Verified submitted",V147&lt;&gt;"",V147&lt;='Dashboard'!$B$4,W147&lt;&gt;"",S147="Verified",T147&lt;&gt;""),1,0))</x:f>
      </x:c>
      <x:c r="AE147" s="1"/>
      <x:c r="AF147" s="1"/>
      <x:c r="AG147" s="1"/>
      <x:c r="AH147" s="1"/>
    </x:row>
    <x:row r="148" ht="23" customHeight="1">
      <x:c r="A148" s="8"/>
      <x:c r="B148" s="8"/>
      <x:c r="C148" s="9" t="str">
        <x:f>IF(B148="","",IF(COUNTIFS('Roster'!$A$6:$A$205,B148)&lt;&gt;1,"Check roster",IF(INDEX('Roster'!$B$6:$B$205,MATCH(B148,'Roster'!$A$6:$A$205,0))="","Site missing",INDEX('Roster'!$B$6:$B$205,MATCH(B148,'Roster'!$A$6:$A$205,0)))))</x:f>
      </x:c>
      <x:c r="D148" s="6"/>
      <x:c r="E148" s="7"/>
      <x:c r="F148" s="6"/>
      <x:c r="G148" s="6"/>
      <x:c r="H148" s="6"/>
      <x:c r="I148" s="7"/>
      <x:c r="J148" s="6"/>
      <x:c r="K148" s="6"/>
      <x:c r="L148" s="7"/>
      <x:c r="M148" s="7"/>
      <x:c r="N148" s="7"/>
      <x:c r="O148" s="7"/>
      <x:c r="P148" s="7"/>
      <x:c r="Q148" s="6"/>
      <x:c r="R148" s="7"/>
      <x:c r="S148" s="6"/>
      <x:c r="T148" s="6"/>
      <x:c r="U148" s="6"/>
      <x:c r="V148" s="7"/>
      <x:c r="W148" s="6"/>
      <x:c r="X148" s="7"/>
      <x:c r="Y148" s="9" t="str">
        <x:f>IF(A148="","",IF(OR(K148="Complete",K148="Declined",K148="Closed without data"),"Collection closed",IF(OR(I148="",J148=""),"Date unverified",IF(I148&lt;'Dashboard'!$B$4,"Overdue",IF(I148&lt;='Dashboard'!$B$4+'Dashboard'!$B$5,"Due soon","Later")))))</x:f>
      </x:c>
      <x:c r="Z148" s="9" t="str">
        <x:f>IF(A148="","",IF(H148="","Unassigned",IF(AND(L148&lt;&gt;"",M148=""),"Awaiting acknowledgement",IF(AND(R148&lt;&gt;"",R148&lt;'Dashboard'!$B$4),"Action date passed",IF(AND(OR(K148="Not started",K148="In progress",K148="Awaiting return",K148="Received partial",K148="Unable to reach"),OR(Q148="",R148="")),"Next action missing","No handoff flag")))))</x:f>
      </x:c>
      <x:c r="AA148" s="9" t="str">
        <x:f>IF(A148="","",IF(COUNTIFS($A$6:$A$205,A148)&gt;1,"Duplicate task ID",IF(COUNTIFS($B$6:$B$205,B148,$D$6:$D$205,D148,$E$6:$E$205,E148,$F$6:$F$205,F148)&gt;1,"Duplicate cycle/instrument",IF(OR(B148="",C148="Check roster",C148="Site missing",D148="",E148="",F148="",G148="",G148="Needs verification",K148="",S148="",U148="",X148=""),"Missing core fields",IF(AND(OR(K148="Complete",K148="Received partial"),O148=""),"Missing completion date",IF(AND(U148="Verified submitted",OR(V148="",W148="",S148&lt;&gt;"Verified")),"Submission evidence gap",IF(AND(S148="Verified",T148=""),"Source evidence gap","Recorded")))))))</x:f>
      </x:c>
      <x:c r="AB148" s="9" t="str">
        <x:f>IF(A148="","",IF(OR(I148="",J148=""),"Undated",IF(AND(I148&gt;='Dashboard'!$B$6,I148&lt;='Dashboard'!$B$7),"In period","Outside period")))</x:f>
      </x:c>
      <x:c r="AC148" s="9" t="str">
        <x:f>IF(A148="","",IF(AND(OR(K148="Complete",K148="Received partial"),O148&lt;&gt;"",O148&lt;='Dashboard'!$B$4),1,0))</x:f>
      </x:c>
      <x:c r="AD148" s="9" t="str">
        <x:f>IF(A148="","",IF(AND(U148="Verified submitted",V148&lt;&gt;"",V148&lt;='Dashboard'!$B$4,W148&lt;&gt;"",S148="Verified",T148&lt;&gt;""),1,0))</x:f>
      </x:c>
      <x:c r="AE148" s="1"/>
      <x:c r="AF148" s="1"/>
      <x:c r="AG148" s="1"/>
      <x:c r="AH148" s="1"/>
    </x:row>
    <x:row r="149" ht="23" customHeight="1">
      <x:c r="A149" s="8"/>
      <x:c r="B149" s="8"/>
      <x:c r="C149" s="9" t="str">
        <x:f>IF(B149="","",IF(COUNTIFS('Roster'!$A$6:$A$205,B149)&lt;&gt;1,"Check roster",IF(INDEX('Roster'!$B$6:$B$205,MATCH(B149,'Roster'!$A$6:$A$205,0))="","Site missing",INDEX('Roster'!$B$6:$B$205,MATCH(B149,'Roster'!$A$6:$A$205,0)))))</x:f>
      </x:c>
      <x:c r="D149" s="6"/>
      <x:c r="E149" s="7"/>
      <x:c r="F149" s="6"/>
      <x:c r="G149" s="6"/>
      <x:c r="H149" s="6"/>
      <x:c r="I149" s="7"/>
      <x:c r="J149" s="6"/>
      <x:c r="K149" s="6"/>
      <x:c r="L149" s="7"/>
      <x:c r="M149" s="7"/>
      <x:c r="N149" s="7"/>
      <x:c r="O149" s="7"/>
      <x:c r="P149" s="7"/>
      <x:c r="Q149" s="6"/>
      <x:c r="R149" s="7"/>
      <x:c r="S149" s="6"/>
      <x:c r="T149" s="6"/>
      <x:c r="U149" s="6"/>
      <x:c r="V149" s="7"/>
      <x:c r="W149" s="6"/>
      <x:c r="X149" s="7"/>
      <x:c r="Y149" s="9" t="str">
        <x:f>IF(A149="","",IF(OR(K149="Complete",K149="Declined",K149="Closed without data"),"Collection closed",IF(OR(I149="",J149=""),"Date unverified",IF(I149&lt;'Dashboard'!$B$4,"Overdue",IF(I149&lt;='Dashboard'!$B$4+'Dashboard'!$B$5,"Due soon","Later")))))</x:f>
      </x:c>
      <x:c r="Z149" s="9" t="str">
        <x:f>IF(A149="","",IF(H149="","Unassigned",IF(AND(L149&lt;&gt;"",M149=""),"Awaiting acknowledgement",IF(AND(R149&lt;&gt;"",R149&lt;'Dashboard'!$B$4),"Action date passed",IF(AND(OR(K149="Not started",K149="In progress",K149="Awaiting return",K149="Received partial",K149="Unable to reach"),OR(Q149="",R149="")),"Next action missing","No handoff flag")))))</x:f>
      </x:c>
      <x:c r="AA149" s="9" t="str">
        <x:f>IF(A149="","",IF(COUNTIFS($A$6:$A$205,A149)&gt;1,"Duplicate task ID",IF(COUNTIFS($B$6:$B$205,B149,$D$6:$D$205,D149,$E$6:$E$205,E149,$F$6:$F$205,F149)&gt;1,"Duplicate cycle/instrument",IF(OR(B149="",C149="Check roster",C149="Site missing",D149="",E149="",F149="",G149="",G149="Needs verification",K149="",S149="",U149="",X149=""),"Missing core fields",IF(AND(OR(K149="Complete",K149="Received partial"),O149=""),"Missing completion date",IF(AND(U149="Verified submitted",OR(V149="",W149="",S149&lt;&gt;"Verified")),"Submission evidence gap",IF(AND(S149="Verified",T149=""),"Source evidence gap","Recorded")))))))</x:f>
      </x:c>
      <x:c r="AB149" s="9" t="str">
        <x:f>IF(A149="","",IF(OR(I149="",J149=""),"Undated",IF(AND(I149&gt;='Dashboard'!$B$6,I149&lt;='Dashboard'!$B$7),"In period","Outside period")))</x:f>
      </x:c>
      <x:c r="AC149" s="9" t="str">
        <x:f>IF(A149="","",IF(AND(OR(K149="Complete",K149="Received partial"),O149&lt;&gt;"",O149&lt;='Dashboard'!$B$4),1,0))</x:f>
      </x:c>
      <x:c r="AD149" s="9" t="str">
        <x:f>IF(A149="","",IF(AND(U149="Verified submitted",V149&lt;&gt;"",V149&lt;='Dashboard'!$B$4,W149&lt;&gt;"",S149="Verified",T149&lt;&gt;""),1,0))</x:f>
      </x:c>
      <x:c r="AE149" s="1"/>
      <x:c r="AF149" s="1"/>
      <x:c r="AG149" s="1"/>
      <x:c r="AH149" s="1"/>
    </x:row>
    <x:row r="150" ht="23" customHeight="1">
      <x:c r="A150" s="8"/>
      <x:c r="B150" s="8"/>
      <x:c r="C150" s="9" t="str">
        <x:f>IF(B150="","",IF(COUNTIFS('Roster'!$A$6:$A$205,B150)&lt;&gt;1,"Check roster",IF(INDEX('Roster'!$B$6:$B$205,MATCH(B150,'Roster'!$A$6:$A$205,0))="","Site missing",INDEX('Roster'!$B$6:$B$205,MATCH(B150,'Roster'!$A$6:$A$205,0)))))</x:f>
      </x:c>
      <x:c r="D150" s="6"/>
      <x:c r="E150" s="7"/>
      <x:c r="F150" s="6"/>
      <x:c r="G150" s="6"/>
      <x:c r="H150" s="6"/>
      <x:c r="I150" s="7"/>
      <x:c r="J150" s="6"/>
      <x:c r="K150" s="6"/>
      <x:c r="L150" s="7"/>
      <x:c r="M150" s="7"/>
      <x:c r="N150" s="7"/>
      <x:c r="O150" s="7"/>
      <x:c r="P150" s="7"/>
      <x:c r="Q150" s="6"/>
      <x:c r="R150" s="7"/>
      <x:c r="S150" s="6"/>
      <x:c r="T150" s="6"/>
      <x:c r="U150" s="6"/>
      <x:c r="V150" s="7"/>
      <x:c r="W150" s="6"/>
      <x:c r="X150" s="7"/>
      <x:c r="Y150" s="9" t="str">
        <x:f>IF(A150="","",IF(OR(K150="Complete",K150="Declined",K150="Closed without data"),"Collection closed",IF(OR(I150="",J150=""),"Date unverified",IF(I150&lt;'Dashboard'!$B$4,"Overdue",IF(I150&lt;='Dashboard'!$B$4+'Dashboard'!$B$5,"Due soon","Later")))))</x:f>
      </x:c>
      <x:c r="Z150" s="9" t="str">
        <x:f>IF(A150="","",IF(H150="","Unassigned",IF(AND(L150&lt;&gt;"",M150=""),"Awaiting acknowledgement",IF(AND(R150&lt;&gt;"",R150&lt;'Dashboard'!$B$4),"Action date passed",IF(AND(OR(K150="Not started",K150="In progress",K150="Awaiting return",K150="Received partial",K150="Unable to reach"),OR(Q150="",R150="")),"Next action missing","No handoff flag")))))</x:f>
      </x:c>
      <x:c r="AA150" s="9" t="str">
        <x:f>IF(A150="","",IF(COUNTIFS($A$6:$A$205,A150)&gt;1,"Duplicate task ID",IF(COUNTIFS($B$6:$B$205,B150,$D$6:$D$205,D150,$E$6:$E$205,E150,$F$6:$F$205,F150)&gt;1,"Duplicate cycle/instrument",IF(OR(B150="",C150="Check roster",C150="Site missing",D150="",E150="",F150="",G150="",G150="Needs verification",K150="",S150="",U150="",X150=""),"Missing core fields",IF(AND(OR(K150="Complete",K150="Received partial"),O150=""),"Missing completion date",IF(AND(U150="Verified submitted",OR(V150="",W150="",S150&lt;&gt;"Verified")),"Submission evidence gap",IF(AND(S150="Verified",T150=""),"Source evidence gap","Recorded")))))))</x:f>
      </x:c>
      <x:c r="AB150" s="9" t="str">
        <x:f>IF(A150="","",IF(OR(I150="",J150=""),"Undated",IF(AND(I150&gt;='Dashboard'!$B$6,I150&lt;='Dashboard'!$B$7),"In period","Outside period")))</x:f>
      </x:c>
      <x:c r="AC150" s="9" t="str">
        <x:f>IF(A150="","",IF(AND(OR(K150="Complete",K150="Received partial"),O150&lt;&gt;"",O150&lt;='Dashboard'!$B$4),1,0))</x:f>
      </x:c>
      <x:c r="AD150" s="9" t="str">
        <x:f>IF(A150="","",IF(AND(U150="Verified submitted",V150&lt;&gt;"",V150&lt;='Dashboard'!$B$4,W150&lt;&gt;"",S150="Verified",T150&lt;&gt;""),1,0))</x:f>
      </x:c>
      <x:c r="AE150" s="1"/>
      <x:c r="AF150" s="1"/>
      <x:c r="AG150" s="1"/>
      <x:c r="AH150" s="1"/>
    </x:row>
    <x:row r="151" ht="23" customHeight="1">
      <x:c r="A151" s="8"/>
      <x:c r="B151" s="8"/>
      <x:c r="C151" s="9" t="str">
        <x:f>IF(B151="","",IF(COUNTIFS('Roster'!$A$6:$A$205,B151)&lt;&gt;1,"Check roster",IF(INDEX('Roster'!$B$6:$B$205,MATCH(B151,'Roster'!$A$6:$A$205,0))="","Site missing",INDEX('Roster'!$B$6:$B$205,MATCH(B151,'Roster'!$A$6:$A$205,0)))))</x:f>
      </x:c>
      <x:c r="D151" s="6"/>
      <x:c r="E151" s="7"/>
      <x:c r="F151" s="6"/>
      <x:c r="G151" s="6"/>
      <x:c r="H151" s="6"/>
      <x:c r="I151" s="7"/>
      <x:c r="J151" s="6"/>
      <x:c r="K151" s="6"/>
      <x:c r="L151" s="7"/>
      <x:c r="M151" s="7"/>
      <x:c r="N151" s="7"/>
      <x:c r="O151" s="7"/>
      <x:c r="P151" s="7"/>
      <x:c r="Q151" s="6"/>
      <x:c r="R151" s="7"/>
      <x:c r="S151" s="6"/>
      <x:c r="T151" s="6"/>
      <x:c r="U151" s="6"/>
      <x:c r="V151" s="7"/>
      <x:c r="W151" s="6"/>
      <x:c r="X151" s="7"/>
      <x:c r="Y151" s="9" t="str">
        <x:f>IF(A151="","",IF(OR(K151="Complete",K151="Declined",K151="Closed without data"),"Collection closed",IF(OR(I151="",J151=""),"Date unverified",IF(I151&lt;'Dashboard'!$B$4,"Overdue",IF(I151&lt;='Dashboard'!$B$4+'Dashboard'!$B$5,"Due soon","Later")))))</x:f>
      </x:c>
      <x:c r="Z151" s="9" t="str">
        <x:f>IF(A151="","",IF(H151="","Unassigned",IF(AND(L151&lt;&gt;"",M151=""),"Awaiting acknowledgement",IF(AND(R151&lt;&gt;"",R151&lt;'Dashboard'!$B$4),"Action date passed",IF(AND(OR(K151="Not started",K151="In progress",K151="Awaiting return",K151="Received partial",K151="Unable to reach"),OR(Q151="",R151="")),"Next action missing","No handoff flag")))))</x:f>
      </x:c>
      <x:c r="AA151" s="9" t="str">
        <x:f>IF(A151="","",IF(COUNTIFS($A$6:$A$205,A151)&gt;1,"Duplicate task ID",IF(COUNTIFS($B$6:$B$205,B151,$D$6:$D$205,D151,$E$6:$E$205,E151,$F$6:$F$205,F151)&gt;1,"Duplicate cycle/instrument",IF(OR(B151="",C151="Check roster",C151="Site missing",D151="",E151="",F151="",G151="",G151="Needs verification",K151="",S151="",U151="",X151=""),"Missing core fields",IF(AND(OR(K151="Complete",K151="Received partial"),O151=""),"Missing completion date",IF(AND(U151="Verified submitted",OR(V151="",W151="",S151&lt;&gt;"Verified")),"Submission evidence gap",IF(AND(S151="Verified",T151=""),"Source evidence gap","Recorded")))))))</x:f>
      </x:c>
      <x:c r="AB151" s="9" t="str">
        <x:f>IF(A151="","",IF(OR(I151="",J151=""),"Undated",IF(AND(I151&gt;='Dashboard'!$B$6,I151&lt;='Dashboard'!$B$7),"In period","Outside period")))</x:f>
      </x:c>
      <x:c r="AC151" s="9" t="str">
        <x:f>IF(A151="","",IF(AND(OR(K151="Complete",K151="Received partial"),O151&lt;&gt;"",O151&lt;='Dashboard'!$B$4),1,0))</x:f>
      </x:c>
      <x:c r="AD151" s="9" t="str">
        <x:f>IF(A151="","",IF(AND(U151="Verified submitted",V151&lt;&gt;"",V151&lt;='Dashboard'!$B$4,W151&lt;&gt;"",S151="Verified",T151&lt;&gt;""),1,0))</x:f>
      </x:c>
      <x:c r="AE151" s="1"/>
      <x:c r="AF151" s="1"/>
      <x:c r="AG151" s="1"/>
      <x:c r="AH151" s="1"/>
    </x:row>
    <x:row r="152" ht="23" customHeight="1">
      <x:c r="A152" s="8"/>
      <x:c r="B152" s="8"/>
      <x:c r="C152" s="9" t="str">
        <x:f>IF(B152="","",IF(COUNTIFS('Roster'!$A$6:$A$205,B152)&lt;&gt;1,"Check roster",IF(INDEX('Roster'!$B$6:$B$205,MATCH(B152,'Roster'!$A$6:$A$205,0))="","Site missing",INDEX('Roster'!$B$6:$B$205,MATCH(B152,'Roster'!$A$6:$A$205,0)))))</x:f>
      </x:c>
      <x:c r="D152" s="6"/>
      <x:c r="E152" s="7"/>
      <x:c r="F152" s="6"/>
      <x:c r="G152" s="6"/>
      <x:c r="H152" s="6"/>
      <x:c r="I152" s="7"/>
      <x:c r="J152" s="6"/>
      <x:c r="K152" s="6"/>
      <x:c r="L152" s="7"/>
      <x:c r="M152" s="7"/>
      <x:c r="N152" s="7"/>
      <x:c r="O152" s="7"/>
      <x:c r="P152" s="7"/>
      <x:c r="Q152" s="6"/>
      <x:c r="R152" s="7"/>
      <x:c r="S152" s="6"/>
      <x:c r="T152" s="6"/>
      <x:c r="U152" s="6"/>
      <x:c r="V152" s="7"/>
      <x:c r="W152" s="6"/>
      <x:c r="X152" s="7"/>
      <x:c r="Y152" s="9" t="str">
        <x:f>IF(A152="","",IF(OR(K152="Complete",K152="Declined",K152="Closed without data"),"Collection closed",IF(OR(I152="",J152=""),"Date unverified",IF(I152&lt;'Dashboard'!$B$4,"Overdue",IF(I152&lt;='Dashboard'!$B$4+'Dashboard'!$B$5,"Due soon","Later")))))</x:f>
      </x:c>
      <x:c r="Z152" s="9" t="str">
        <x:f>IF(A152="","",IF(H152="","Unassigned",IF(AND(L152&lt;&gt;"",M152=""),"Awaiting acknowledgement",IF(AND(R152&lt;&gt;"",R152&lt;'Dashboard'!$B$4),"Action date passed",IF(AND(OR(K152="Not started",K152="In progress",K152="Awaiting return",K152="Received partial",K152="Unable to reach"),OR(Q152="",R152="")),"Next action missing","No handoff flag")))))</x:f>
      </x:c>
      <x:c r="AA152" s="9" t="str">
        <x:f>IF(A152="","",IF(COUNTIFS($A$6:$A$205,A152)&gt;1,"Duplicate task ID",IF(COUNTIFS($B$6:$B$205,B152,$D$6:$D$205,D152,$E$6:$E$205,E152,$F$6:$F$205,F152)&gt;1,"Duplicate cycle/instrument",IF(OR(B152="",C152="Check roster",C152="Site missing",D152="",E152="",F152="",G152="",G152="Needs verification",K152="",S152="",U152="",X152=""),"Missing core fields",IF(AND(OR(K152="Complete",K152="Received partial"),O152=""),"Missing completion date",IF(AND(U152="Verified submitted",OR(V152="",W152="",S152&lt;&gt;"Verified")),"Submission evidence gap",IF(AND(S152="Verified",T152=""),"Source evidence gap","Recorded")))))))</x:f>
      </x:c>
      <x:c r="AB152" s="9" t="str">
        <x:f>IF(A152="","",IF(OR(I152="",J152=""),"Undated",IF(AND(I152&gt;='Dashboard'!$B$6,I152&lt;='Dashboard'!$B$7),"In period","Outside period")))</x:f>
      </x:c>
      <x:c r="AC152" s="9" t="str">
        <x:f>IF(A152="","",IF(AND(OR(K152="Complete",K152="Received partial"),O152&lt;&gt;"",O152&lt;='Dashboard'!$B$4),1,0))</x:f>
      </x:c>
      <x:c r="AD152" s="9" t="str">
        <x:f>IF(A152="","",IF(AND(U152="Verified submitted",V152&lt;&gt;"",V152&lt;='Dashboard'!$B$4,W152&lt;&gt;"",S152="Verified",T152&lt;&gt;""),1,0))</x:f>
      </x:c>
      <x:c r="AE152" s="1"/>
      <x:c r="AF152" s="1"/>
      <x:c r="AG152" s="1"/>
      <x:c r="AH152" s="1"/>
    </x:row>
    <x:row r="153" ht="23" customHeight="1">
      <x:c r="A153" s="8"/>
      <x:c r="B153" s="8"/>
      <x:c r="C153" s="9" t="str">
        <x:f>IF(B153="","",IF(COUNTIFS('Roster'!$A$6:$A$205,B153)&lt;&gt;1,"Check roster",IF(INDEX('Roster'!$B$6:$B$205,MATCH(B153,'Roster'!$A$6:$A$205,0))="","Site missing",INDEX('Roster'!$B$6:$B$205,MATCH(B153,'Roster'!$A$6:$A$205,0)))))</x:f>
      </x:c>
      <x:c r="D153" s="6"/>
      <x:c r="E153" s="7"/>
      <x:c r="F153" s="6"/>
      <x:c r="G153" s="6"/>
      <x:c r="H153" s="6"/>
      <x:c r="I153" s="7"/>
      <x:c r="J153" s="6"/>
      <x:c r="K153" s="6"/>
      <x:c r="L153" s="7"/>
      <x:c r="M153" s="7"/>
      <x:c r="N153" s="7"/>
      <x:c r="O153" s="7"/>
      <x:c r="P153" s="7"/>
      <x:c r="Q153" s="6"/>
      <x:c r="R153" s="7"/>
      <x:c r="S153" s="6"/>
      <x:c r="T153" s="6"/>
      <x:c r="U153" s="6"/>
      <x:c r="V153" s="7"/>
      <x:c r="W153" s="6"/>
      <x:c r="X153" s="7"/>
      <x:c r="Y153" s="9" t="str">
        <x:f>IF(A153="","",IF(OR(K153="Complete",K153="Declined",K153="Closed without data"),"Collection closed",IF(OR(I153="",J153=""),"Date unverified",IF(I153&lt;'Dashboard'!$B$4,"Overdue",IF(I153&lt;='Dashboard'!$B$4+'Dashboard'!$B$5,"Due soon","Later")))))</x:f>
      </x:c>
      <x:c r="Z153" s="9" t="str">
        <x:f>IF(A153="","",IF(H153="","Unassigned",IF(AND(L153&lt;&gt;"",M153=""),"Awaiting acknowledgement",IF(AND(R153&lt;&gt;"",R153&lt;'Dashboard'!$B$4),"Action date passed",IF(AND(OR(K153="Not started",K153="In progress",K153="Awaiting return",K153="Received partial",K153="Unable to reach"),OR(Q153="",R153="")),"Next action missing","No handoff flag")))))</x:f>
      </x:c>
      <x:c r="AA153" s="9" t="str">
        <x:f>IF(A153="","",IF(COUNTIFS($A$6:$A$205,A153)&gt;1,"Duplicate task ID",IF(COUNTIFS($B$6:$B$205,B153,$D$6:$D$205,D153,$E$6:$E$205,E153,$F$6:$F$205,F153)&gt;1,"Duplicate cycle/instrument",IF(OR(B153="",C153="Check roster",C153="Site missing",D153="",E153="",F153="",G153="",G153="Needs verification",K153="",S153="",U153="",X153=""),"Missing core fields",IF(AND(OR(K153="Complete",K153="Received partial"),O153=""),"Missing completion date",IF(AND(U153="Verified submitted",OR(V153="",W153="",S153&lt;&gt;"Verified")),"Submission evidence gap",IF(AND(S153="Verified",T153=""),"Source evidence gap","Recorded")))))))</x:f>
      </x:c>
      <x:c r="AB153" s="9" t="str">
        <x:f>IF(A153="","",IF(OR(I153="",J153=""),"Undated",IF(AND(I153&gt;='Dashboard'!$B$6,I153&lt;='Dashboard'!$B$7),"In period","Outside period")))</x:f>
      </x:c>
      <x:c r="AC153" s="9" t="str">
        <x:f>IF(A153="","",IF(AND(OR(K153="Complete",K153="Received partial"),O153&lt;&gt;"",O153&lt;='Dashboard'!$B$4),1,0))</x:f>
      </x:c>
      <x:c r="AD153" s="9" t="str">
        <x:f>IF(A153="","",IF(AND(U153="Verified submitted",V153&lt;&gt;"",V153&lt;='Dashboard'!$B$4,W153&lt;&gt;"",S153="Verified",T153&lt;&gt;""),1,0))</x:f>
      </x:c>
      <x:c r="AE153" s="1"/>
      <x:c r="AF153" s="1"/>
      <x:c r="AG153" s="1"/>
      <x:c r="AH153" s="1"/>
    </x:row>
    <x:row r="154" ht="23" customHeight="1">
      <x:c r="A154" s="8"/>
      <x:c r="B154" s="8"/>
      <x:c r="C154" s="9" t="str">
        <x:f>IF(B154="","",IF(COUNTIFS('Roster'!$A$6:$A$205,B154)&lt;&gt;1,"Check roster",IF(INDEX('Roster'!$B$6:$B$205,MATCH(B154,'Roster'!$A$6:$A$205,0))="","Site missing",INDEX('Roster'!$B$6:$B$205,MATCH(B154,'Roster'!$A$6:$A$205,0)))))</x:f>
      </x:c>
      <x:c r="D154" s="6"/>
      <x:c r="E154" s="7"/>
      <x:c r="F154" s="6"/>
      <x:c r="G154" s="6"/>
      <x:c r="H154" s="6"/>
      <x:c r="I154" s="7"/>
      <x:c r="J154" s="6"/>
      <x:c r="K154" s="6"/>
      <x:c r="L154" s="7"/>
      <x:c r="M154" s="7"/>
      <x:c r="N154" s="7"/>
      <x:c r="O154" s="7"/>
      <x:c r="P154" s="7"/>
      <x:c r="Q154" s="6"/>
      <x:c r="R154" s="7"/>
      <x:c r="S154" s="6"/>
      <x:c r="T154" s="6"/>
      <x:c r="U154" s="6"/>
      <x:c r="V154" s="7"/>
      <x:c r="W154" s="6"/>
      <x:c r="X154" s="7"/>
      <x:c r="Y154" s="9" t="str">
        <x:f>IF(A154="","",IF(OR(K154="Complete",K154="Declined",K154="Closed without data"),"Collection closed",IF(OR(I154="",J154=""),"Date unverified",IF(I154&lt;'Dashboard'!$B$4,"Overdue",IF(I154&lt;='Dashboard'!$B$4+'Dashboard'!$B$5,"Due soon","Later")))))</x:f>
      </x:c>
      <x:c r="Z154" s="9" t="str">
        <x:f>IF(A154="","",IF(H154="","Unassigned",IF(AND(L154&lt;&gt;"",M154=""),"Awaiting acknowledgement",IF(AND(R154&lt;&gt;"",R154&lt;'Dashboard'!$B$4),"Action date passed",IF(AND(OR(K154="Not started",K154="In progress",K154="Awaiting return",K154="Received partial",K154="Unable to reach"),OR(Q154="",R154="")),"Next action missing","No handoff flag")))))</x:f>
      </x:c>
      <x:c r="AA154" s="9" t="str">
        <x:f>IF(A154="","",IF(COUNTIFS($A$6:$A$205,A154)&gt;1,"Duplicate task ID",IF(COUNTIFS($B$6:$B$205,B154,$D$6:$D$205,D154,$E$6:$E$205,E154,$F$6:$F$205,F154)&gt;1,"Duplicate cycle/instrument",IF(OR(B154="",C154="Check roster",C154="Site missing",D154="",E154="",F154="",G154="",G154="Needs verification",K154="",S154="",U154="",X154=""),"Missing core fields",IF(AND(OR(K154="Complete",K154="Received partial"),O154=""),"Missing completion date",IF(AND(U154="Verified submitted",OR(V154="",W154="",S154&lt;&gt;"Verified")),"Submission evidence gap",IF(AND(S154="Verified",T154=""),"Source evidence gap","Recorded")))))))</x:f>
      </x:c>
      <x:c r="AB154" s="9" t="str">
        <x:f>IF(A154="","",IF(OR(I154="",J154=""),"Undated",IF(AND(I154&gt;='Dashboard'!$B$6,I154&lt;='Dashboard'!$B$7),"In period","Outside period")))</x:f>
      </x:c>
      <x:c r="AC154" s="9" t="str">
        <x:f>IF(A154="","",IF(AND(OR(K154="Complete",K154="Received partial"),O154&lt;&gt;"",O154&lt;='Dashboard'!$B$4),1,0))</x:f>
      </x:c>
      <x:c r="AD154" s="9" t="str">
        <x:f>IF(A154="","",IF(AND(U154="Verified submitted",V154&lt;&gt;"",V154&lt;='Dashboard'!$B$4,W154&lt;&gt;"",S154="Verified",T154&lt;&gt;""),1,0))</x:f>
      </x:c>
      <x:c r="AE154" s="1"/>
      <x:c r="AF154" s="1"/>
      <x:c r="AG154" s="1"/>
      <x:c r="AH154" s="1"/>
    </x:row>
    <x:row r="155" ht="23" customHeight="1">
      <x:c r="A155" s="8"/>
      <x:c r="B155" s="8"/>
      <x:c r="C155" s="9" t="str">
        <x:f>IF(B155="","",IF(COUNTIFS('Roster'!$A$6:$A$205,B155)&lt;&gt;1,"Check roster",IF(INDEX('Roster'!$B$6:$B$205,MATCH(B155,'Roster'!$A$6:$A$205,0))="","Site missing",INDEX('Roster'!$B$6:$B$205,MATCH(B155,'Roster'!$A$6:$A$205,0)))))</x:f>
      </x:c>
      <x:c r="D155" s="6"/>
      <x:c r="E155" s="7"/>
      <x:c r="F155" s="6"/>
      <x:c r="G155" s="6"/>
      <x:c r="H155" s="6"/>
      <x:c r="I155" s="7"/>
      <x:c r="J155" s="6"/>
      <x:c r="K155" s="6"/>
      <x:c r="L155" s="7"/>
      <x:c r="M155" s="7"/>
      <x:c r="N155" s="7"/>
      <x:c r="O155" s="7"/>
      <x:c r="P155" s="7"/>
      <x:c r="Q155" s="6"/>
      <x:c r="R155" s="7"/>
      <x:c r="S155" s="6"/>
      <x:c r="T155" s="6"/>
      <x:c r="U155" s="6"/>
      <x:c r="V155" s="7"/>
      <x:c r="W155" s="6"/>
      <x:c r="X155" s="7"/>
      <x:c r="Y155" s="9" t="str">
        <x:f>IF(A155="","",IF(OR(K155="Complete",K155="Declined",K155="Closed without data"),"Collection closed",IF(OR(I155="",J155=""),"Date unverified",IF(I155&lt;'Dashboard'!$B$4,"Overdue",IF(I155&lt;='Dashboard'!$B$4+'Dashboard'!$B$5,"Due soon","Later")))))</x:f>
      </x:c>
      <x:c r="Z155" s="9" t="str">
        <x:f>IF(A155="","",IF(H155="","Unassigned",IF(AND(L155&lt;&gt;"",M155=""),"Awaiting acknowledgement",IF(AND(R155&lt;&gt;"",R155&lt;'Dashboard'!$B$4),"Action date passed",IF(AND(OR(K155="Not started",K155="In progress",K155="Awaiting return",K155="Received partial",K155="Unable to reach"),OR(Q155="",R155="")),"Next action missing","No handoff flag")))))</x:f>
      </x:c>
      <x:c r="AA155" s="9" t="str">
        <x:f>IF(A155="","",IF(COUNTIFS($A$6:$A$205,A155)&gt;1,"Duplicate task ID",IF(COUNTIFS($B$6:$B$205,B155,$D$6:$D$205,D155,$E$6:$E$205,E155,$F$6:$F$205,F155)&gt;1,"Duplicate cycle/instrument",IF(OR(B155="",C155="Check roster",C155="Site missing",D155="",E155="",F155="",G155="",G155="Needs verification",K155="",S155="",U155="",X155=""),"Missing core fields",IF(AND(OR(K155="Complete",K155="Received partial"),O155=""),"Missing completion date",IF(AND(U155="Verified submitted",OR(V155="",W155="",S155&lt;&gt;"Verified")),"Submission evidence gap",IF(AND(S155="Verified",T155=""),"Source evidence gap","Recorded")))))))</x:f>
      </x:c>
      <x:c r="AB155" s="9" t="str">
        <x:f>IF(A155="","",IF(OR(I155="",J155=""),"Undated",IF(AND(I155&gt;='Dashboard'!$B$6,I155&lt;='Dashboard'!$B$7),"In period","Outside period")))</x:f>
      </x:c>
      <x:c r="AC155" s="9" t="str">
        <x:f>IF(A155="","",IF(AND(OR(K155="Complete",K155="Received partial"),O155&lt;&gt;"",O155&lt;='Dashboard'!$B$4),1,0))</x:f>
      </x:c>
      <x:c r="AD155" s="9" t="str">
        <x:f>IF(A155="","",IF(AND(U155="Verified submitted",V155&lt;&gt;"",V155&lt;='Dashboard'!$B$4,W155&lt;&gt;"",S155="Verified",T155&lt;&gt;""),1,0))</x:f>
      </x:c>
      <x:c r="AE155" s="1"/>
      <x:c r="AF155" s="1"/>
      <x:c r="AG155" s="1"/>
      <x:c r="AH155" s="1"/>
    </x:row>
    <x:row r="156" ht="23" customHeight="1">
      <x:c r="A156" s="8"/>
      <x:c r="B156" s="8"/>
      <x:c r="C156" s="9" t="str">
        <x:f>IF(B156="","",IF(COUNTIFS('Roster'!$A$6:$A$205,B156)&lt;&gt;1,"Check roster",IF(INDEX('Roster'!$B$6:$B$205,MATCH(B156,'Roster'!$A$6:$A$205,0))="","Site missing",INDEX('Roster'!$B$6:$B$205,MATCH(B156,'Roster'!$A$6:$A$205,0)))))</x:f>
      </x:c>
      <x:c r="D156" s="6"/>
      <x:c r="E156" s="7"/>
      <x:c r="F156" s="6"/>
      <x:c r="G156" s="6"/>
      <x:c r="H156" s="6"/>
      <x:c r="I156" s="7"/>
      <x:c r="J156" s="6"/>
      <x:c r="K156" s="6"/>
      <x:c r="L156" s="7"/>
      <x:c r="M156" s="7"/>
      <x:c r="N156" s="7"/>
      <x:c r="O156" s="7"/>
      <x:c r="P156" s="7"/>
      <x:c r="Q156" s="6"/>
      <x:c r="R156" s="7"/>
      <x:c r="S156" s="6"/>
      <x:c r="T156" s="6"/>
      <x:c r="U156" s="6"/>
      <x:c r="V156" s="7"/>
      <x:c r="W156" s="6"/>
      <x:c r="X156" s="7"/>
      <x:c r="Y156" s="9" t="str">
        <x:f>IF(A156="","",IF(OR(K156="Complete",K156="Declined",K156="Closed without data"),"Collection closed",IF(OR(I156="",J156=""),"Date unverified",IF(I156&lt;'Dashboard'!$B$4,"Overdue",IF(I156&lt;='Dashboard'!$B$4+'Dashboard'!$B$5,"Due soon","Later")))))</x:f>
      </x:c>
      <x:c r="Z156" s="9" t="str">
        <x:f>IF(A156="","",IF(H156="","Unassigned",IF(AND(L156&lt;&gt;"",M156=""),"Awaiting acknowledgement",IF(AND(R156&lt;&gt;"",R156&lt;'Dashboard'!$B$4),"Action date passed",IF(AND(OR(K156="Not started",K156="In progress",K156="Awaiting return",K156="Received partial",K156="Unable to reach"),OR(Q156="",R156="")),"Next action missing","No handoff flag")))))</x:f>
      </x:c>
      <x:c r="AA156" s="9" t="str">
        <x:f>IF(A156="","",IF(COUNTIFS($A$6:$A$205,A156)&gt;1,"Duplicate task ID",IF(COUNTIFS($B$6:$B$205,B156,$D$6:$D$205,D156,$E$6:$E$205,E156,$F$6:$F$205,F156)&gt;1,"Duplicate cycle/instrument",IF(OR(B156="",C156="Check roster",C156="Site missing",D156="",E156="",F156="",G156="",G156="Needs verification",K156="",S156="",U156="",X156=""),"Missing core fields",IF(AND(OR(K156="Complete",K156="Received partial"),O156=""),"Missing completion date",IF(AND(U156="Verified submitted",OR(V156="",W156="",S156&lt;&gt;"Verified")),"Submission evidence gap",IF(AND(S156="Verified",T156=""),"Source evidence gap","Recorded")))))))</x:f>
      </x:c>
      <x:c r="AB156" s="9" t="str">
        <x:f>IF(A156="","",IF(OR(I156="",J156=""),"Undated",IF(AND(I156&gt;='Dashboard'!$B$6,I156&lt;='Dashboard'!$B$7),"In period","Outside period")))</x:f>
      </x:c>
      <x:c r="AC156" s="9" t="str">
        <x:f>IF(A156="","",IF(AND(OR(K156="Complete",K156="Received partial"),O156&lt;&gt;"",O156&lt;='Dashboard'!$B$4),1,0))</x:f>
      </x:c>
      <x:c r="AD156" s="9" t="str">
        <x:f>IF(A156="","",IF(AND(U156="Verified submitted",V156&lt;&gt;"",V156&lt;='Dashboard'!$B$4,W156&lt;&gt;"",S156="Verified",T156&lt;&gt;""),1,0))</x:f>
      </x:c>
      <x:c r="AE156" s="1"/>
      <x:c r="AF156" s="1"/>
      <x:c r="AG156" s="1"/>
      <x:c r="AH156" s="1"/>
    </x:row>
    <x:row r="157" ht="23" customHeight="1">
      <x:c r="A157" s="8"/>
      <x:c r="B157" s="8"/>
      <x:c r="C157" s="9" t="str">
        <x:f>IF(B157="","",IF(COUNTIFS('Roster'!$A$6:$A$205,B157)&lt;&gt;1,"Check roster",IF(INDEX('Roster'!$B$6:$B$205,MATCH(B157,'Roster'!$A$6:$A$205,0))="","Site missing",INDEX('Roster'!$B$6:$B$205,MATCH(B157,'Roster'!$A$6:$A$205,0)))))</x:f>
      </x:c>
      <x:c r="D157" s="6"/>
      <x:c r="E157" s="7"/>
      <x:c r="F157" s="6"/>
      <x:c r="G157" s="6"/>
      <x:c r="H157" s="6"/>
      <x:c r="I157" s="7"/>
      <x:c r="J157" s="6"/>
      <x:c r="K157" s="6"/>
      <x:c r="L157" s="7"/>
      <x:c r="M157" s="7"/>
      <x:c r="N157" s="7"/>
      <x:c r="O157" s="7"/>
      <x:c r="P157" s="7"/>
      <x:c r="Q157" s="6"/>
      <x:c r="R157" s="7"/>
      <x:c r="S157" s="6"/>
      <x:c r="T157" s="6"/>
      <x:c r="U157" s="6"/>
      <x:c r="V157" s="7"/>
      <x:c r="W157" s="6"/>
      <x:c r="X157" s="7"/>
      <x:c r="Y157" s="9" t="str">
        <x:f>IF(A157="","",IF(OR(K157="Complete",K157="Declined",K157="Closed without data"),"Collection closed",IF(OR(I157="",J157=""),"Date unverified",IF(I157&lt;'Dashboard'!$B$4,"Overdue",IF(I157&lt;='Dashboard'!$B$4+'Dashboard'!$B$5,"Due soon","Later")))))</x:f>
      </x:c>
      <x:c r="Z157" s="9" t="str">
        <x:f>IF(A157="","",IF(H157="","Unassigned",IF(AND(L157&lt;&gt;"",M157=""),"Awaiting acknowledgement",IF(AND(R157&lt;&gt;"",R157&lt;'Dashboard'!$B$4),"Action date passed",IF(AND(OR(K157="Not started",K157="In progress",K157="Awaiting return",K157="Received partial",K157="Unable to reach"),OR(Q157="",R157="")),"Next action missing","No handoff flag")))))</x:f>
      </x:c>
      <x:c r="AA157" s="9" t="str">
        <x:f>IF(A157="","",IF(COUNTIFS($A$6:$A$205,A157)&gt;1,"Duplicate task ID",IF(COUNTIFS($B$6:$B$205,B157,$D$6:$D$205,D157,$E$6:$E$205,E157,$F$6:$F$205,F157)&gt;1,"Duplicate cycle/instrument",IF(OR(B157="",C157="Check roster",C157="Site missing",D157="",E157="",F157="",G157="",G157="Needs verification",K157="",S157="",U157="",X157=""),"Missing core fields",IF(AND(OR(K157="Complete",K157="Received partial"),O157=""),"Missing completion date",IF(AND(U157="Verified submitted",OR(V157="",W157="",S157&lt;&gt;"Verified")),"Submission evidence gap",IF(AND(S157="Verified",T157=""),"Source evidence gap","Recorded")))))))</x:f>
      </x:c>
      <x:c r="AB157" s="9" t="str">
        <x:f>IF(A157="","",IF(OR(I157="",J157=""),"Undated",IF(AND(I157&gt;='Dashboard'!$B$6,I157&lt;='Dashboard'!$B$7),"In period","Outside period")))</x:f>
      </x:c>
      <x:c r="AC157" s="9" t="str">
        <x:f>IF(A157="","",IF(AND(OR(K157="Complete",K157="Received partial"),O157&lt;&gt;"",O157&lt;='Dashboard'!$B$4),1,0))</x:f>
      </x:c>
      <x:c r="AD157" s="9" t="str">
        <x:f>IF(A157="","",IF(AND(U157="Verified submitted",V157&lt;&gt;"",V157&lt;='Dashboard'!$B$4,W157&lt;&gt;"",S157="Verified",T157&lt;&gt;""),1,0))</x:f>
      </x:c>
      <x:c r="AE157" s="1"/>
      <x:c r="AF157" s="1"/>
      <x:c r="AG157" s="1"/>
      <x:c r="AH157" s="1"/>
    </x:row>
    <x:row r="158" ht="23" customHeight="1">
      <x:c r="A158" s="8"/>
      <x:c r="B158" s="8"/>
      <x:c r="C158" s="9" t="str">
        <x:f>IF(B158="","",IF(COUNTIFS('Roster'!$A$6:$A$205,B158)&lt;&gt;1,"Check roster",IF(INDEX('Roster'!$B$6:$B$205,MATCH(B158,'Roster'!$A$6:$A$205,0))="","Site missing",INDEX('Roster'!$B$6:$B$205,MATCH(B158,'Roster'!$A$6:$A$205,0)))))</x:f>
      </x:c>
      <x:c r="D158" s="6"/>
      <x:c r="E158" s="7"/>
      <x:c r="F158" s="6"/>
      <x:c r="G158" s="6"/>
      <x:c r="H158" s="6"/>
      <x:c r="I158" s="7"/>
      <x:c r="J158" s="6"/>
      <x:c r="K158" s="6"/>
      <x:c r="L158" s="7"/>
      <x:c r="M158" s="7"/>
      <x:c r="N158" s="7"/>
      <x:c r="O158" s="7"/>
      <x:c r="P158" s="7"/>
      <x:c r="Q158" s="6"/>
      <x:c r="R158" s="7"/>
      <x:c r="S158" s="6"/>
      <x:c r="T158" s="6"/>
      <x:c r="U158" s="6"/>
      <x:c r="V158" s="7"/>
      <x:c r="W158" s="6"/>
      <x:c r="X158" s="7"/>
      <x:c r="Y158" s="9" t="str">
        <x:f>IF(A158="","",IF(OR(K158="Complete",K158="Declined",K158="Closed without data"),"Collection closed",IF(OR(I158="",J158=""),"Date unverified",IF(I158&lt;'Dashboard'!$B$4,"Overdue",IF(I158&lt;='Dashboard'!$B$4+'Dashboard'!$B$5,"Due soon","Later")))))</x:f>
      </x:c>
      <x:c r="Z158" s="9" t="str">
        <x:f>IF(A158="","",IF(H158="","Unassigned",IF(AND(L158&lt;&gt;"",M158=""),"Awaiting acknowledgement",IF(AND(R158&lt;&gt;"",R158&lt;'Dashboard'!$B$4),"Action date passed",IF(AND(OR(K158="Not started",K158="In progress",K158="Awaiting return",K158="Received partial",K158="Unable to reach"),OR(Q158="",R158="")),"Next action missing","No handoff flag")))))</x:f>
      </x:c>
      <x:c r="AA158" s="9" t="str">
        <x:f>IF(A158="","",IF(COUNTIFS($A$6:$A$205,A158)&gt;1,"Duplicate task ID",IF(COUNTIFS($B$6:$B$205,B158,$D$6:$D$205,D158,$E$6:$E$205,E158,$F$6:$F$205,F158)&gt;1,"Duplicate cycle/instrument",IF(OR(B158="",C158="Check roster",C158="Site missing",D158="",E158="",F158="",G158="",G158="Needs verification",K158="",S158="",U158="",X158=""),"Missing core fields",IF(AND(OR(K158="Complete",K158="Received partial"),O158=""),"Missing completion date",IF(AND(U158="Verified submitted",OR(V158="",W158="",S158&lt;&gt;"Verified")),"Submission evidence gap",IF(AND(S158="Verified",T158=""),"Source evidence gap","Recorded")))))))</x:f>
      </x:c>
      <x:c r="AB158" s="9" t="str">
        <x:f>IF(A158="","",IF(OR(I158="",J158=""),"Undated",IF(AND(I158&gt;='Dashboard'!$B$6,I158&lt;='Dashboard'!$B$7),"In period","Outside period")))</x:f>
      </x:c>
      <x:c r="AC158" s="9" t="str">
        <x:f>IF(A158="","",IF(AND(OR(K158="Complete",K158="Received partial"),O158&lt;&gt;"",O158&lt;='Dashboard'!$B$4),1,0))</x:f>
      </x:c>
      <x:c r="AD158" s="9" t="str">
        <x:f>IF(A158="","",IF(AND(U158="Verified submitted",V158&lt;&gt;"",V158&lt;='Dashboard'!$B$4,W158&lt;&gt;"",S158="Verified",T158&lt;&gt;""),1,0))</x:f>
      </x:c>
      <x:c r="AE158" s="1"/>
      <x:c r="AF158" s="1"/>
      <x:c r="AG158" s="1"/>
      <x:c r="AH158" s="1"/>
    </x:row>
    <x:row r="159" ht="23" customHeight="1">
      <x:c r="A159" s="8"/>
      <x:c r="B159" s="8"/>
      <x:c r="C159" s="9" t="str">
        <x:f>IF(B159="","",IF(COUNTIFS('Roster'!$A$6:$A$205,B159)&lt;&gt;1,"Check roster",IF(INDEX('Roster'!$B$6:$B$205,MATCH(B159,'Roster'!$A$6:$A$205,0))="","Site missing",INDEX('Roster'!$B$6:$B$205,MATCH(B159,'Roster'!$A$6:$A$205,0)))))</x:f>
      </x:c>
      <x:c r="D159" s="6"/>
      <x:c r="E159" s="7"/>
      <x:c r="F159" s="6"/>
      <x:c r="G159" s="6"/>
      <x:c r="H159" s="6"/>
      <x:c r="I159" s="7"/>
      <x:c r="J159" s="6"/>
      <x:c r="K159" s="6"/>
      <x:c r="L159" s="7"/>
      <x:c r="M159" s="7"/>
      <x:c r="N159" s="7"/>
      <x:c r="O159" s="7"/>
      <x:c r="P159" s="7"/>
      <x:c r="Q159" s="6"/>
      <x:c r="R159" s="7"/>
      <x:c r="S159" s="6"/>
      <x:c r="T159" s="6"/>
      <x:c r="U159" s="6"/>
      <x:c r="V159" s="7"/>
      <x:c r="W159" s="6"/>
      <x:c r="X159" s="7"/>
      <x:c r="Y159" s="9" t="str">
        <x:f>IF(A159="","",IF(OR(K159="Complete",K159="Declined",K159="Closed without data"),"Collection closed",IF(OR(I159="",J159=""),"Date unverified",IF(I159&lt;'Dashboard'!$B$4,"Overdue",IF(I159&lt;='Dashboard'!$B$4+'Dashboard'!$B$5,"Due soon","Later")))))</x:f>
      </x:c>
      <x:c r="Z159" s="9" t="str">
        <x:f>IF(A159="","",IF(H159="","Unassigned",IF(AND(L159&lt;&gt;"",M159=""),"Awaiting acknowledgement",IF(AND(R159&lt;&gt;"",R159&lt;'Dashboard'!$B$4),"Action date passed",IF(AND(OR(K159="Not started",K159="In progress",K159="Awaiting return",K159="Received partial",K159="Unable to reach"),OR(Q159="",R159="")),"Next action missing","No handoff flag")))))</x:f>
      </x:c>
      <x:c r="AA159" s="9" t="str">
        <x:f>IF(A159="","",IF(COUNTIFS($A$6:$A$205,A159)&gt;1,"Duplicate task ID",IF(COUNTIFS($B$6:$B$205,B159,$D$6:$D$205,D159,$E$6:$E$205,E159,$F$6:$F$205,F159)&gt;1,"Duplicate cycle/instrument",IF(OR(B159="",C159="Check roster",C159="Site missing",D159="",E159="",F159="",G159="",G159="Needs verification",K159="",S159="",U159="",X159=""),"Missing core fields",IF(AND(OR(K159="Complete",K159="Received partial"),O159=""),"Missing completion date",IF(AND(U159="Verified submitted",OR(V159="",W159="",S159&lt;&gt;"Verified")),"Submission evidence gap",IF(AND(S159="Verified",T159=""),"Source evidence gap","Recorded")))))))</x:f>
      </x:c>
      <x:c r="AB159" s="9" t="str">
        <x:f>IF(A159="","",IF(OR(I159="",J159=""),"Undated",IF(AND(I159&gt;='Dashboard'!$B$6,I159&lt;='Dashboard'!$B$7),"In period","Outside period")))</x:f>
      </x:c>
      <x:c r="AC159" s="9" t="str">
        <x:f>IF(A159="","",IF(AND(OR(K159="Complete",K159="Received partial"),O159&lt;&gt;"",O159&lt;='Dashboard'!$B$4),1,0))</x:f>
      </x:c>
      <x:c r="AD159" s="9" t="str">
        <x:f>IF(A159="","",IF(AND(U159="Verified submitted",V159&lt;&gt;"",V159&lt;='Dashboard'!$B$4,W159&lt;&gt;"",S159="Verified",T159&lt;&gt;""),1,0))</x:f>
      </x:c>
      <x:c r="AE159" s="1"/>
      <x:c r="AF159" s="1"/>
      <x:c r="AG159" s="1"/>
      <x:c r="AH159" s="1"/>
    </x:row>
    <x:row r="160" ht="23" customHeight="1">
      <x:c r="A160" s="8"/>
      <x:c r="B160" s="8"/>
      <x:c r="C160" s="9" t="str">
        <x:f>IF(B160="","",IF(COUNTIFS('Roster'!$A$6:$A$205,B160)&lt;&gt;1,"Check roster",IF(INDEX('Roster'!$B$6:$B$205,MATCH(B160,'Roster'!$A$6:$A$205,0))="","Site missing",INDEX('Roster'!$B$6:$B$205,MATCH(B160,'Roster'!$A$6:$A$205,0)))))</x:f>
      </x:c>
      <x:c r="D160" s="6"/>
      <x:c r="E160" s="7"/>
      <x:c r="F160" s="6"/>
      <x:c r="G160" s="6"/>
      <x:c r="H160" s="6"/>
      <x:c r="I160" s="7"/>
      <x:c r="J160" s="6"/>
      <x:c r="K160" s="6"/>
      <x:c r="L160" s="7"/>
      <x:c r="M160" s="7"/>
      <x:c r="N160" s="7"/>
      <x:c r="O160" s="7"/>
      <x:c r="P160" s="7"/>
      <x:c r="Q160" s="6"/>
      <x:c r="R160" s="7"/>
      <x:c r="S160" s="6"/>
      <x:c r="T160" s="6"/>
      <x:c r="U160" s="6"/>
      <x:c r="V160" s="7"/>
      <x:c r="W160" s="6"/>
      <x:c r="X160" s="7"/>
      <x:c r="Y160" s="9" t="str">
        <x:f>IF(A160="","",IF(OR(K160="Complete",K160="Declined",K160="Closed without data"),"Collection closed",IF(OR(I160="",J160=""),"Date unverified",IF(I160&lt;'Dashboard'!$B$4,"Overdue",IF(I160&lt;='Dashboard'!$B$4+'Dashboard'!$B$5,"Due soon","Later")))))</x:f>
      </x:c>
      <x:c r="Z160" s="9" t="str">
        <x:f>IF(A160="","",IF(H160="","Unassigned",IF(AND(L160&lt;&gt;"",M160=""),"Awaiting acknowledgement",IF(AND(R160&lt;&gt;"",R160&lt;'Dashboard'!$B$4),"Action date passed",IF(AND(OR(K160="Not started",K160="In progress",K160="Awaiting return",K160="Received partial",K160="Unable to reach"),OR(Q160="",R160="")),"Next action missing","No handoff flag")))))</x:f>
      </x:c>
      <x:c r="AA160" s="9" t="str">
        <x:f>IF(A160="","",IF(COUNTIFS($A$6:$A$205,A160)&gt;1,"Duplicate task ID",IF(COUNTIFS($B$6:$B$205,B160,$D$6:$D$205,D160,$E$6:$E$205,E160,$F$6:$F$205,F160)&gt;1,"Duplicate cycle/instrument",IF(OR(B160="",C160="Check roster",C160="Site missing",D160="",E160="",F160="",G160="",G160="Needs verification",K160="",S160="",U160="",X160=""),"Missing core fields",IF(AND(OR(K160="Complete",K160="Received partial"),O160=""),"Missing completion date",IF(AND(U160="Verified submitted",OR(V160="",W160="",S160&lt;&gt;"Verified")),"Submission evidence gap",IF(AND(S160="Verified",T160=""),"Source evidence gap","Recorded")))))))</x:f>
      </x:c>
      <x:c r="AB160" s="9" t="str">
        <x:f>IF(A160="","",IF(OR(I160="",J160=""),"Undated",IF(AND(I160&gt;='Dashboard'!$B$6,I160&lt;='Dashboard'!$B$7),"In period","Outside period")))</x:f>
      </x:c>
      <x:c r="AC160" s="9" t="str">
        <x:f>IF(A160="","",IF(AND(OR(K160="Complete",K160="Received partial"),O160&lt;&gt;"",O160&lt;='Dashboard'!$B$4),1,0))</x:f>
      </x:c>
      <x:c r="AD160" s="9" t="str">
        <x:f>IF(A160="","",IF(AND(U160="Verified submitted",V160&lt;&gt;"",V160&lt;='Dashboard'!$B$4,W160&lt;&gt;"",S160="Verified",T160&lt;&gt;""),1,0))</x:f>
      </x:c>
      <x:c r="AE160" s="1"/>
      <x:c r="AF160" s="1"/>
      <x:c r="AG160" s="1"/>
      <x:c r="AH160" s="1"/>
    </x:row>
    <x:row r="161" ht="23" customHeight="1">
      <x:c r="A161" s="8"/>
      <x:c r="B161" s="8"/>
      <x:c r="C161" s="9" t="str">
        <x:f>IF(B161="","",IF(COUNTIFS('Roster'!$A$6:$A$205,B161)&lt;&gt;1,"Check roster",IF(INDEX('Roster'!$B$6:$B$205,MATCH(B161,'Roster'!$A$6:$A$205,0))="","Site missing",INDEX('Roster'!$B$6:$B$205,MATCH(B161,'Roster'!$A$6:$A$205,0)))))</x:f>
      </x:c>
      <x:c r="D161" s="6"/>
      <x:c r="E161" s="7"/>
      <x:c r="F161" s="6"/>
      <x:c r="G161" s="6"/>
      <x:c r="H161" s="6"/>
      <x:c r="I161" s="7"/>
      <x:c r="J161" s="6"/>
      <x:c r="K161" s="6"/>
      <x:c r="L161" s="7"/>
      <x:c r="M161" s="7"/>
      <x:c r="N161" s="7"/>
      <x:c r="O161" s="7"/>
      <x:c r="P161" s="7"/>
      <x:c r="Q161" s="6"/>
      <x:c r="R161" s="7"/>
      <x:c r="S161" s="6"/>
      <x:c r="T161" s="6"/>
      <x:c r="U161" s="6"/>
      <x:c r="V161" s="7"/>
      <x:c r="W161" s="6"/>
      <x:c r="X161" s="7"/>
      <x:c r="Y161" s="9" t="str">
        <x:f>IF(A161="","",IF(OR(K161="Complete",K161="Declined",K161="Closed without data"),"Collection closed",IF(OR(I161="",J161=""),"Date unverified",IF(I161&lt;'Dashboard'!$B$4,"Overdue",IF(I161&lt;='Dashboard'!$B$4+'Dashboard'!$B$5,"Due soon","Later")))))</x:f>
      </x:c>
      <x:c r="Z161" s="9" t="str">
        <x:f>IF(A161="","",IF(H161="","Unassigned",IF(AND(L161&lt;&gt;"",M161=""),"Awaiting acknowledgement",IF(AND(R161&lt;&gt;"",R161&lt;'Dashboard'!$B$4),"Action date passed",IF(AND(OR(K161="Not started",K161="In progress",K161="Awaiting return",K161="Received partial",K161="Unable to reach"),OR(Q161="",R161="")),"Next action missing","No handoff flag")))))</x:f>
      </x:c>
      <x:c r="AA161" s="9" t="str">
        <x:f>IF(A161="","",IF(COUNTIFS($A$6:$A$205,A161)&gt;1,"Duplicate task ID",IF(COUNTIFS($B$6:$B$205,B161,$D$6:$D$205,D161,$E$6:$E$205,E161,$F$6:$F$205,F161)&gt;1,"Duplicate cycle/instrument",IF(OR(B161="",C161="Check roster",C161="Site missing",D161="",E161="",F161="",G161="",G161="Needs verification",K161="",S161="",U161="",X161=""),"Missing core fields",IF(AND(OR(K161="Complete",K161="Received partial"),O161=""),"Missing completion date",IF(AND(U161="Verified submitted",OR(V161="",W161="",S161&lt;&gt;"Verified")),"Submission evidence gap",IF(AND(S161="Verified",T161=""),"Source evidence gap","Recorded")))))))</x:f>
      </x:c>
      <x:c r="AB161" s="9" t="str">
        <x:f>IF(A161="","",IF(OR(I161="",J161=""),"Undated",IF(AND(I161&gt;='Dashboard'!$B$6,I161&lt;='Dashboard'!$B$7),"In period","Outside period")))</x:f>
      </x:c>
      <x:c r="AC161" s="9" t="str">
        <x:f>IF(A161="","",IF(AND(OR(K161="Complete",K161="Received partial"),O161&lt;&gt;"",O161&lt;='Dashboard'!$B$4),1,0))</x:f>
      </x:c>
      <x:c r="AD161" s="9" t="str">
        <x:f>IF(A161="","",IF(AND(U161="Verified submitted",V161&lt;&gt;"",V161&lt;='Dashboard'!$B$4,W161&lt;&gt;"",S161="Verified",T161&lt;&gt;""),1,0))</x:f>
      </x:c>
      <x:c r="AE161" s="1"/>
      <x:c r="AF161" s="1"/>
      <x:c r="AG161" s="1"/>
      <x:c r="AH161" s="1"/>
    </x:row>
    <x:row r="162" ht="23" customHeight="1">
      <x:c r="A162" s="8"/>
      <x:c r="B162" s="8"/>
      <x:c r="C162" s="9" t="str">
        <x:f>IF(B162="","",IF(COUNTIFS('Roster'!$A$6:$A$205,B162)&lt;&gt;1,"Check roster",IF(INDEX('Roster'!$B$6:$B$205,MATCH(B162,'Roster'!$A$6:$A$205,0))="","Site missing",INDEX('Roster'!$B$6:$B$205,MATCH(B162,'Roster'!$A$6:$A$205,0)))))</x:f>
      </x:c>
      <x:c r="D162" s="6"/>
      <x:c r="E162" s="7"/>
      <x:c r="F162" s="6"/>
      <x:c r="G162" s="6"/>
      <x:c r="H162" s="6"/>
      <x:c r="I162" s="7"/>
      <x:c r="J162" s="6"/>
      <x:c r="K162" s="6"/>
      <x:c r="L162" s="7"/>
      <x:c r="M162" s="7"/>
      <x:c r="N162" s="7"/>
      <x:c r="O162" s="7"/>
      <x:c r="P162" s="7"/>
      <x:c r="Q162" s="6"/>
      <x:c r="R162" s="7"/>
      <x:c r="S162" s="6"/>
      <x:c r="T162" s="6"/>
      <x:c r="U162" s="6"/>
      <x:c r="V162" s="7"/>
      <x:c r="W162" s="6"/>
      <x:c r="X162" s="7"/>
      <x:c r="Y162" s="9" t="str">
        <x:f>IF(A162="","",IF(OR(K162="Complete",K162="Declined",K162="Closed without data"),"Collection closed",IF(OR(I162="",J162=""),"Date unverified",IF(I162&lt;'Dashboard'!$B$4,"Overdue",IF(I162&lt;='Dashboard'!$B$4+'Dashboard'!$B$5,"Due soon","Later")))))</x:f>
      </x:c>
      <x:c r="Z162" s="9" t="str">
        <x:f>IF(A162="","",IF(H162="","Unassigned",IF(AND(L162&lt;&gt;"",M162=""),"Awaiting acknowledgement",IF(AND(R162&lt;&gt;"",R162&lt;'Dashboard'!$B$4),"Action date passed",IF(AND(OR(K162="Not started",K162="In progress",K162="Awaiting return",K162="Received partial",K162="Unable to reach"),OR(Q162="",R162="")),"Next action missing","No handoff flag")))))</x:f>
      </x:c>
      <x:c r="AA162" s="9" t="str">
        <x:f>IF(A162="","",IF(COUNTIFS($A$6:$A$205,A162)&gt;1,"Duplicate task ID",IF(COUNTIFS($B$6:$B$205,B162,$D$6:$D$205,D162,$E$6:$E$205,E162,$F$6:$F$205,F162)&gt;1,"Duplicate cycle/instrument",IF(OR(B162="",C162="Check roster",C162="Site missing",D162="",E162="",F162="",G162="",G162="Needs verification",K162="",S162="",U162="",X162=""),"Missing core fields",IF(AND(OR(K162="Complete",K162="Received partial"),O162=""),"Missing completion date",IF(AND(U162="Verified submitted",OR(V162="",W162="",S162&lt;&gt;"Verified")),"Submission evidence gap",IF(AND(S162="Verified",T162=""),"Source evidence gap","Recorded")))))))</x:f>
      </x:c>
      <x:c r="AB162" s="9" t="str">
        <x:f>IF(A162="","",IF(OR(I162="",J162=""),"Undated",IF(AND(I162&gt;='Dashboard'!$B$6,I162&lt;='Dashboard'!$B$7),"In period","Outside period")))</x:f>
      </x:c>
      <x:c r="AC162" s="9" t="str">
        <x:f>IF(A162="","",IF(AND(OR(K162="Complete",K162="Received partial"),O162&lt;&gt;"",O162&lt;='Dashboard'!$B$4),1,0))</x:f>
      </x:c>
      <x:c r="AD162" s="9" t="str">
        <x:f>IF(A162="","",IF(AND(U162="Verified submitted",V162&lt;&gt;"",V162&lt;='Dashboard'!$B$4,W162&lt;&gt;"",S162="Verified",T162&lt;&gt;""),1,0))</x:f>
      </x:c>
      <x:c r="AE162" s="1"/>
      <x:c r="AF162" s="1"/>
      <x:c r="AG162" s="1"/>
      <x:c r="AH162" s="1"/>
    </x:row>
    <x:row r="163" ht="23" customHeight="1">
      <x:c r="A163" s="8"/>
      <x:c r="B163" s="8"/>
      <x:c r="C163" s="9" t="str">
        <x:f>IF(B163="","",IF(COUNTIFS('Roster'!$A$6:$A$205,B163)&lt;&gt;1,"Check roster",IF(INDEX('Roster'!$B$6:$B$205,MATCH(B163,'Roster'!$A$6:$A$205,0))="","Site missing",INDEX('Roster'!$B$6:$B$205,MATCH(B163,'Roster'!$A$6:$A$205,0)))))</x:f>
      </x:c>
      <x:c r="D163" s="6"/>
      <x:c r="E163" s="7"/>
      <x:c r="F163" s="6"/>
      <x:c r="G163" s="6"/>
      <x:c r="H163" s="6"/>
      <x:c r="I163" s="7"/>
      <x:c r="J163" s="6"/>
      <x:c r="K163" s="6"/>
      <x:c r="L163" s="7"/>
      <x:c r="M163" s="7"/>
      <x:c r="N163" s="7"/>
      <x:c r="O163" s="7"/>
      <x:c r="P163" s="7"/>
      <x:c r="Q163" s="6"/>
      <x:c r="R163" s="7"/>
      <x:c r="S163" s="6"/>
      <x:c r="T163" s="6"/>
      <x:c r="U163" s="6"/>
      <x:c r="V163" s="7"/>
      <x:c r="W163" s="6"/>
      <x:c r="X163" s="7"/>
      <x:c r="Y163" s="9" t="str">
        <x:f>IF(A163="","",IF(OR(K163="Complete",K163="Declined",K163="Closed without data"),"Collection closed",IF(OR(I163="",J163=""),"Date unverified",IF(I163&lt;'Dashboard'!$B$4,"Overdue",IF(I163&lt;='Dashboard'!$B$4+'Dashboard'!$B$5,"Due soon","Later")))))</x:f>
      </x:c>
      <x:c r="Z163" s="9" t="str">
        <x:f>IF(A163="","",IF(H163="","Unassigned",IF(AND(L163&lt;&gt;"",M163=""),"Awaiting acknowledgement",IF(AND(R163&lt;&gt;"",R163&lt;'Dashboard'!$B$4),"Action date passed",IF(AND(OR(K163="Not started",K163="In progress",K163="Awaiting return",K163="Received partial",K163="Unable to reach"),OR(Q163="",R163="")),"Next action missing","No handoff flag")))))</x:f>
      </x:c>
      <x:c r="AA163" s="9" t="str">
        <x:f>IF(A163="","",IF(COUNTIFS($A$6:$A$205,A163)&gt;1,"Duplicate task ID",IF(COUNTIFS($B$6:$B$205,B163,$D$6:$D$205,D163,$E$6:$E$205,E163,$F$6:$F$205,F163)&gt;1,"Duplicate cycle/instrument",IF(OR(B163="",C163="Check roster",C163="Site missing",D163="",E163="",F163="",G163="",G163="Needs verification",K163="",S163="",U163="",X163=""),"Missing core fields",IF(AND(OR(K163="Complete",K163="Received partial"),O163=""),"Missing completion date",IF(AND(U163="Verified submitted",OR(V163="",W163="",S163&lt;&gt;"Verified")),"Submission evidence gap",IF(AND(S163="Verified",T163=""),"Source evidence gap","Recorded")))))))</x:f>
      </x:c>
      <x:c r="AB163" s="9" t="str">
        <x:f>IF(A163="","",IF(OR(I163="",J163=""),"Undated",IF(AND(I163&gt;='Dashboard'!$B$6,I163&lt;='Dashboard'!$B$7),"In period","Outside period")))</x:f>
      </x:c>
      <x:c r="AC163" s="9" t="str">
        <x:f>IF(A163="","",IF(AND(OR(K163="Complete",K163="Received partial"),O163&lt;&gt;"",O163&lt;='Dashboard'!$B$4),1,0))</x:f>
      </x:c>
      <x:c r="AD163" s="9" t="str">
        <x:f>IF(A163="","",IF(AND(U163="Verified submitted",V163&lt;&gt;"",V163&lt;='Dashboard'!$B$4,W163&lt;&gt;"",S163="Verified",T163&lt;&gt;""),1,0))</x:f>
      </x:c>
      <x:c r="AE163" s="1"/>
      <x:c r="AF163" s="1"/>
      <x:c r="AG163" s="1"/>
      <x:c r="AH163" s="1"/>
    </x:row>
    <x:row r="164" ht="23" customHeight="1">
      <x:c r="A164" s="8"/>
      <x:c r="B164" s="8"/>
      <x:c r="C164" s="9" t="str">
        <x:f>IF(B164="","",IF(COUNTIFS('Roster'!$A$6:$A$205,B164)&lt;&gt;1,"Check roster",IF(INDEX('Roster'!$B$6:$B$205,MATCH(B164,'Roster'!$A$6:$A$205,0))="","Site missing",INDEX('Roster'!$B$6:$B$205,MATCH(B164,'Roster'!$A$6:$A$205,0)))))</x:f>
      </x:c>
      <x:c r="D164" s="6"/>
      <x:c r="E164" s="7"/>
      <x:c r="F164" s="6"/>
      <x:c r="G164" s="6"/>
      <x:c r="H164" s="6"/>
      <x:c r="I164" s="7"/>
      <x:c r="J164" s="6"/>
      <x:c r="K164" s="6"/>
      <x:c r="L164" s="7"/>
      <x:c r="M164" s="7"/>
      <x:c r="N164" s="7"/>
      <x:c r="O164" s="7"/>
      <x:c r="P164" s="7"/>
      <x:c r="Q164" s="6"/>
      <x:c r="R164" s="7"/>
      <x:c r="S164" s="6"/>
      <x:c r="T164" s="6"/>
      <x:c r="U164" s="6"/>
      <x:c r="V164" s="7"/>
      <x:c r="W164" s="6"/>
      <x:c r="X164" s="7"/>
      <x:c r="Y164" s="9" t="str">
        <x:f>IF(A164="","",IF(OR(K164="Complete",K164="Declined",K164="Closed without data"),"Collection closed",IF(OR(I164="",J164=""),"Date unverified",IF(I164&lt;'Dashboard'!$B$4,"Overdue",IF(I164&lt;='Dashboard'!$B$4+'Dashboard'!$B$5,"Due soon","Later")))))</x:f>
      </x:c>
      <x:c r="Z164" s="9" t="str">
        <x:f>IF(A164="","",IF(H164="","Unassigned",IF(AND(L164&lt;&gt;"",M164=""),"Awaiting acknowledgement",IF(AND(R164&lt;&gt;"",R164&lt;'Dashboard'!$B$4),"Action date passed",IF(AND(OR(K164="Not started",K164="In progress",K164="Awaiting return",K164="Received partial",K164="Unable to reach"),OR(Q164="",R164="")),"Next action missing","No handoff flag")))))</x:f>
      </x:c>
      <x:c r="AA164" s="9" t="str">
        <x:f>IF(A164="","",IF(COUNTIFS($A$6:$A$205,A164)&gt;1,"Duplicate task ID",IF(COUNTIFS($B$6:$B$205,B164,$D$6:$D$205,D164,$E$6:$E$205,E164,$F$6:$F$205,F164)&gt;1,"Duplicate cycle/instrument",IF(OR(B164="",C164="Check roster",C164="Site missing",D164="",E164="",F164="",G164="",G164="Needs verification",K164="",S164="",U164="",X164=""),"Missing core fields",IF(AND(OR(K164="Complete",K164="Received partial"),O164=""),"Missing completion date",IF(AND(U164="Verified submitted",OR(V164="",W164="",S164&lt;&gt;"Verified")),"Submission evidence gap",IF(AND(S164="Verified",T164=""),"Source evidence gap","Recorded")))))))</x:f>
      </x:c>
      <x:c r="AB164" s="9" t="str">
        <x:f>IF(A164="","",IF(OR(I164="",J164=""),"Undated",IF(AND(I164&gt;='Dashboard'!$B$6,I164&lt;='Dashboard'!$B$7),"In period","Outside period")))</x:f>
      </x:c>
      <x:c r="AC164" s="9" t="str">
        <x:f>IF(A164="","",IF(AND(OR(K164="Complete",K164="Received partial"),O164&lt;&gt;"",O164&lt;='Dashboard'!$B$4),1,0))</x:f>
      </x:c>
      <x:c r="AD164" s="9" t="str">
        <x:f>IF(A164="","",IF(AND(U164="Verified submitted",V164&lt;&gt;"",V164&lt;='Dashboard'!$B$4,W164&lt;&gt;"",S164="Verified",T164&lt;&gt;""),1,0))</x:f>
      </x:c>
      <x:c r="AE164" s="1"/>
      <x:c r="AF164" s="1"/>
      <x:c r="AG164" s="1"/>
      <x:c r="AH164" s="1"/>
    </x:row>
    <x:row r="165" ht="23" customHeight="1">
      <x:c r="A165" s="8"/>
      <x:c r="B165" s="8"/>
      <x:c r="C165" s="9" t="str">
        <x:f>IF(B165="","",IF(COUNTIFS('Roster'!$A$6:$A$205,B165)&lt;&gt;1,"Check roster",IF(INDEX('Roster'!$B$6:$B$205,MATCH(B165,'Roster'!$A$6:$A$205,0))="","Site missing",INDEX('Roster'!$B$6:$B$205,MATCH(B165,'Roster'!$A$6:$A$205,0)))))</x:f>
      </x:c>
      <x:c r="D165" s="6"/>
      <x:c r="E165" s="7"/>
      <x:c r="F165" s="6"/>
      <x:c r="G165" s="6"/>
      <x:c r="H165" s="6"/>
      <x:c r="I165" s="7"/>
      <x:c r="J165" s="6"/>
      <x:c r="K165" s="6"/>
      <x:c r="L165" s="7"/>
      <x:c r="M165" s="7"/>
      <x:c r="N165" s="7"/>
      <x:c r="O165" s="7"/>
      <x:c r="P165" s="7"/>
      <x:c r="Q165" s="6"/>
      <x:c r="R165" s="7"/>
      <x:c r="S165" s="6"/>
      <x:c r="T165" s="6"/>
      <x:c r="U165" s="6"/>
      <x:c r="V165" s="7"/>
      <x:c r="W165" s="6"/>
      <x:c r="X165" s="7"/>
      <x:c r="Y165" s="9" t="str">
        <x:f>IF(A165="","",IF(OR(K165="Complete",K165="Declined",K165="Closed without data"),"Collection closed",IF(OR(I165="",J165=""),"Date unverified",IF(I165&lt;'Dashboard'!$B$4,"Overdue",IF(I165&lt;='Dashboard'!$B$4+'Dashboard'!$B$5,"Due soon","Later")))))</x:f>
      </x:c>
      <x:c r="Z165" s="9" t="str">
        <x:f>IF(A165="","",IF(H165="","Unassigned",IF(AND(L165&lt;&gt;"",M165=""),"Awaiting acknowledgement",IF(AND(R165&lt;&gt;"",R165&lt;'Dashboard'!$B$4),"Action date passed",IF(AND(OR(K165="Not started",K165="In progress",K165="Awaiting return",K165="Received partial",K165="Unable to reach"),OR(Q165="",R165="")),"Next action missing","No handoff flag")))))</x:f>
      </x:c>
      <x:c r="AA165" s="9" t="str">
        <x:f>IF(A165="","",IF(COUNTIFS($A$6:$A$205,A165)&gt;1,"Duplicate task ID",IF(COUNTIFS($B$6:$B$205,B165,$D$6:$D$205,D165,$E$6:$E$205,E165,$F$6:$F$205,F165)&gt;1,"Duplicate cycle/instrument",IF(OR(B165="",C165="Check roster",C165="Site missing",D165="",E165="",F165="",G165="",G165="Needs verification",K165="",S165="",U165="",X165=""),"Missing core fields",IF(AND(OR(K165="Complete",K165="Received partial"),O165=""),"Missing completion date",IF(AND(U165="Verified submitted",OR(V165="",W165="",S165&lt;&gt;"Verified")),"Submission evidence gap",IF(AND(S165="Verified",T165=""),"Source evidence gap","Recorded")))))))</x:f>
      </x:c>
      <x:c r="AB165" s="9" t="str">
        <x:f>IF(A165="","",IF(OR(I165="",J165=""),"Undated",IF(AND(I165&gt;='Dashboard'!$B$6,I165&lt;='Dashboard'!$B$7),"In period","Outside period")))</x:f>
      </x:c>
      <x:c r="AC165" s="9" t="str">
        <x:f>IF(A165="","",IF(AND(OR(K165="Complete",K165="Received partial"),O165&lt;&gt;"",O165&lt;='Dashboard'!$B$4),1,0))</x:f>
      </x:c>
      <x:c r="AD165" s="9" t="str">
        <x:f>IF(A165="","",IF(AND(U165="Verified submitted",V165&lt;&gt;"",V165&lt;='Dashboard'!$B$4,W165&lt;&gt;"",S165="Verified",T165&lt;&gt;""),1,0))</x:f>
      </x:c>
      <x:c r="AE165" s="1"/>
      <x:c r="AF165" s="1"/>
      <x:c r="AG165" s="1"/>
      <x:c r="AH165" s="1"/>
    </x:row>
    <x:row r="166" ht="23" customHeight="1">
      <x:c r="A166" s="8"/>
      <x:c r="B166" s="8"/>
      <x:c r="C166" s="9" t="str">
        <x:f>IF(B166="","",IF(COUNTIFS('Roster'!$A$6:$A$205,B166)&lt;&gt;1,"Check roster",IF(INDEX('Roster'!$B$6:$B$205,MATCH(B166,'Roster'!$A$6:$A$205,0))="","Site missing",INDEX('Roster'!$B$6:$B$205,MATCH(B166,'Roster'!$A$6:$A$205,0)))))</x:f>
      </x:c>
      <x:c r="D166" s="6"/>
      <x:c r="E166" s="7"/>
      <x:c r="F166" s="6"/>
      <x:c r="G166" s="6"/>
      <x:c r="H166" s="6"/>
      <x:c r="I166" s="7"/>
      <x:c r="J166" s="6"/>
      <x:c r="K166" s="6"/>
      <x:c r="L166" s="7"/>
      <x:c r="M166" s="7"/>
      <x:c r="N166" s="7"/>
      <x:c r="O166" s="7"/>
      <x:c r="P166" s="7"/>
      <x:c r="Q166" s="6"/>
      <x:c r="R166" s="7"/>
      <x:c r="S166" s="6"/>
      <x:c r="T166" s="6"/>
      <x:c r="U166" s="6"/>
      <x:c r="V166" s="7"/>
      <x:c r="W166" s="6"/>
      <x:c r="X166" s="7"/>
      <x:c r="Y166" s="9" t="str">
        <x:f>IF(A166="","",IF(OR(K166="Complete",K166="Declined",K166="Closed without data"),"Collection closed",IF(OR(I166="",J166=""),"Date unverified",IF(I166&lt;'Dashboard'!$B$4,"Overdue",IF(I166&lt;='Dashboard'!$B$4+'Dashboard'!$B$5,"Due soon","Later")))))</x:f>
      </x:c>
      <x:c r="Z166" s="9" t="str">
        <x:f>IF(A166="","",IF(H166="","Unassigned",IF(AND(L166&lt;&gt;"",M166=""),"Awaiting acknowledgement",IF(AND(R166&lt;&gt;"",R166&lt;'Dashboard'!$B$4),"Action date passed",IF(AND(OR(K166="Not started",K166="In progress",K166="Awaiting return",K166="Received partial",K166="Unable to reach"),OR(Q166="",R166="")),"Next action missing","No handoff flag")))))</x:f>
      </x:c>
      <x:c r="AA166" s="9" t="str">
        <x:f>IF(A166="","",IF(COUNTIFS($A$6:$A$205,A166)&gt;1,"Duplicate task ID",IF(COUNTIFS($B$6:$B$205,B166,$D$6:$D$205,D166,$E$6:$E$205,E166,$F$6:$F$205,F166)&gt;1,"Duplicate cycle/instrument",IF(OR(B166="",C166="Check roster",C166="Site missing",D166="",E166="",F166="",G166="",G166="Needs verification",K166="",S166="",U166="",X166=""),"Missing core fields",IF(AND(OR(K166="Complete",K166="Received partial"),O166=""),"Missing completion date",IF(AND(U166="Verified submitted",OR(V166="",W166="",S166&lt;&gt;"Verified")),"Submission evidence gap",IF(AND(S166="Verified",T166=""),"Source evidence gap","Recorded")))))))</x:f>
      </x:c>
      <x:c r="AB166" s="9" t="str">
        <x:f>IF(A166="","",IF(OR(I166="",J166=""),"Undated",IF(AND(I166&gt;='Dashboard'!$B$6,I166&lt;='Dashboard'!$B$7),"In period","Outside period")))</x:f>
      </x:c>
      <x:c r="AC166" s="9" t="str">
        <x:f>IF(A166="","",IF(AND(OR(K166="Complete",K166="Received partial"),O166&lt;&gt;"",O166&lt;='Dashboard'!$B$4),1,0))</x:f>
      </x:c>
      <x:c r="AD166" s="9" t="str">
        <x:f>IF(A166="","",IF(AND(U166="Verified submitted",V166&lt;&gt;"",V166&lt;='Dashboard'!$B$4,W166&lt;&gt;"",S166="Verified",T166&lt;&gt;""),1,0))</x:f>
      </x:c>
      <x:c r="AE166" s="1"/>
      <x:c r="AF166" s="1"/>
      <x:c r="AG166" s="1"/>
      <x:c r="AH166" s="1"/>
    </x:row>
    <x:row r="167" ht="23" customHeight="1">
      <x:c r="A167" s="8"/>
      <x:c r="B167" s="8"/>
      <x:c r="C167" s="9" t="str">
        <x:f>IF(B167="","",IF(COUNTIFS('Roster'!$A$6:$A$205,B167)&lt;&gt;1,"Check roster",IF(INDEX('Roster'!$B$6:$B$205,MATCH(B167,'Roster'!$A$6:$A$205,0))="","Site missing",INDEX('Roster'!$B$6:$B$205,MATCH(B167,'Roster'!$A$6:$A$205,0)))))</x:f>
      </x:c>
      <x:c r="D167" s="6"/>
      <x:c r="E167" s="7"/>
      <x:c r="F167" s="6"/>
      <x:c r="G167" s="6"/>
      <x:c r="H167" s="6"/>
      <x:c r="I167" s="7"/>
      <x:c r="J167" s="6"/>
      <x:c r="K167" s="6"/>
      <x:c r="L167" s="7"/>
      <x:c r="M167" s="7"/>
      <x:c r="N167" s="7"/>
      <x:c r="O167" s="7"/>
      <x:c r="P167" s="7"/>
      <x:c r="Q167" s="6"/>
      <x:c r="R167" s="7"/>
      <x:c r="S167" s="6"/>
      <x:c r="T167" s="6"/>
      <x:c r="U167" s="6"/>
      <x:c r="V167" s="7"/>
      <x:c r="W167" s="6"/>
      <x:c r="X167" s="7"/>
      <x:c r="Y167" s="9" t="str">
        <x:f>IF(A167="","",IF(OR(K167="Complete",K167="Declined",K167="Closed without data"),"Collection closed",IF(OR(I167="",J167=""),"Date unverified",IF(I167&lt;'Dashboard'!$B$4,"Overdue",IF(I167&lt;='Dashboard'!$B$4+'Dashboard'!$B$5,"Due soon","Later")))))</x:f>
      </x:c>
      <x:c r="Z167" s="9" t="str">
        <x:f>IF(A167="","",IF(H167="","Unassigned",IF(AND(L167&lt;&gt;"",M167=""),"Awaiting acknowledgement",IF(AND(R167&lt;&gt;"",R167&lt;'Dashboard'!$B$4),"Action date passed",IF(AND(OR(K167="Not started",K167="In progress",K167="Awaiting return",K167="Received partial",K167="Unable to reach"),OR(Q167="",R167="")),"Next action missing","No handoff flag")))))</x:f>
      </x:c>
      <x:c r="AA167" s="9" t="str">
        <x:f>IF(A167="","",IF(COUNTIFS($A$6:$A$205,A167)&gt;1,"Duplicate task ID",IF(COUNTIFS($B$6:$B$205,B167,$D$6:$D$205,D167,$E$6:$E$205,E167,$F$6:$F$205,F167)&gt;1,"Duplicate cycle/instrument",IF(OR(B167="",C167="Check roster",C167="Site missing",D167="",E167="",F167="",G167="",G167="Needs verification",K167="",S167="",U167="",X167=""),"Missing core fields",IF(AND(OR(K167="Complete",K167="Received partial"),O167=""),"Missing completion date",IF(AND(U167="Verified submitted",OR(V167="",W167="",S167&lt;&gt;"Verified")),"Submission evidence gap",IF(AND(S167="Verified",T167=""),"Source evidence gap","Recorded")))))))</x:f>
      </x:c>
      <x:c r="AB167" s="9" t="str">
        <x:f>IF(A167="","",IF(OR(I167="",J167=""),"Undated",IF(AND(I167&gt;='Dashboard'!$B$6,I167&lt;='Dashboard'!$B$7),"In period","Outside period")))</x:f>
      </x:c>
      <x:c r="AC167" s="9" t="str">
        <x:f>IF(A167="","",IF(AND(OR(K167="Complete",K167="Received partial"),O167&lt;&gt;"",O167&lt;='Dashboard'!$B$4),1,0))</x:f>
      </x:c>
      <x:c r="AD167" s="9" t="str">
        <x:f>IF(A167="","",IF(AND(U167="Verified submitted",V167&lt;&gt;"",V167&lt;='Dashboard'!$B$4,W167&lt;&gt;"",S167="Verified",T167&lt;&gt;""),1,0))</x:f>
      </x:c>
      <x:c r="AE167" s="1"/>
      <x:c r="AF167" s="1"/>
      <x:c r="AG167" s="1"/>
      <x:c r="AH167" s="1"/>
    </x:row>
    <x:row r="168" ht="23" customHeight="1">
      <x:c r="A168" s="8"/>
      <x:c r="B168" s="8"/>
      <x:c r="C168" s="9" t="str">
        <x:f>IF(B168="","",IF(COUNTIFS('Roster'!$A$6:$A$205,B168)&lt;&gt;1,"Check roster",IF(INDEX('Roster'!$B$6:$B$205,MATCH(B168,'Roster'!$A$6:$A$205,0))="","Site missing",INDEX('Roster'!$B$6:$B$205,MATCH(B168,'Roster'!$A$6:$A$205,0)))))</x:f>
      </x:c>
      <x:c r="D168" s="6"/>
      <x:c r="E168" s="7"/>
      <x:c r="F168" s="6"/>
      <x:c r="G168" s="6"/>
      <x:c r="H168" s="6"/>
      <x:c r="I168" s="7"/>
      <x:c r="J168" s="6"/>
      <x:c r="K168" s="6"/>
      <x:c r="L168" s="7"/>
      <x:c r="M168" s="7"/>
      <x:c r="N168" s="7"/>
      <x:c r="O168" s="7"/>
      <x:c r="P168" s="7"/>
      <x:c r="Q168" s="6"/>
      <x:c r="R168" s="7"/>
      <x:c r="S168" s="6"/>
      <x:c r="T168" s="6"/>
      <x:c r="U168" s="6"/>
      <x:c r="V168" s="7"/>
      <x:c r="W168" s="6"/>
      <x:c r="X168" s="7"/>
      <x:c r="Y168" s="9" t="str">
        <x:f>IF(A168="","",IF(OR(K168="Complete",K168="Declined",K168="Closed without data"),"Collection closed",IF(OR(I168="",J168=""),"Date unverified",IF(I168&lt;'Dashboard'!$B$4,"Overdue",IF(I168&lt;='Dashboard'!$B$4+'Dashboard'!$B$5,"Due soon","Later")))))</x:f>
      </x:c>
      <x:c r="Z168" s="9" t="str">
        <x:f>IF(A168="","",IF(H168="","Unassigned",IF(AND(L168&lt;&gt;"",M168=""),"Awaiting acknowledgement",IF(AND(R168&lt;&gt;"",R168&lt;'Dashboard'!$B$4),"Action date passed",IF(AND(OR(K168="Not started",K168="In progress",K168="Awaiting return",K168="Received partial",K168="Unable to reach"),OR(Q168="",R168="")),"Next action missing","No handoff flag")))))</x:f>
      </x:c>
      <x:c r="AA168" s="9" t="str">
        <x:f>IF(A168="","",IF(COUNTIFS($A$6:$A$205,A168)&gt;1,"Duplicate task ID",IF(COUNTIFS($B$6:$B$205,B168,$D$6:$D$205,D168,$E$6:$E$205,E168,$F$6:$F$205,F168)&gt;1,"Duplicate cycle/instrument",IF(OR(B168="",C168="Check roster",C168="Site missing",D168="",E168="",F168="",G168="",G168="Needs verification",K168="",S168="",U168="",X168=""),"Missing core fields",IF(AND(OR(K168="Complete",K168="Received partial"),O168=""),"Missing completion date",IF(AND(U168="Verified submitted",OR(V168="",W168="",S168&lt;&gt;"Verified")),"Submission evidence gap",IF(AND(S168="Verified",T168=""),"Source evidence gap","Recorded")))))))</x:f>
      </x:c>
      <x:c r="AB168" s="9" t="str">
        <x:f>IF(A168="","",IF(OR(I168="",J168=""),"Undated",IF(AND(I168&gt;='Dashboard'!$B$6,I168&lt;='Dashboard'!$B$7),"In period","Outside period")))</x:f>
      </x:c>
      <x:c r="AC168" s="9" t="str">
        <x:f>IF(A168="","",IF(AND(OR(K168="Complete",K168="Received partial"),O168&lt;&gt;"",O168&lt;='Dashboard'!$B$4),1,0))</x:f>
      </x:c>
      <x:c r="AD168" s="9" t="str">
        <x:f>IF(A168="","",IF(AND(U168="Verified submitted",V168&lt;&gt;"",V168&lt;='Dashboard'!$B$4,W168&lt;&gt;"",S168="Verified",T168&lt;&gt;""),1,0))</x:f>
      </x:c>
      <x:c r="AE168" s="1"/>
      <x:c r="AF168" s="1"/>
      <x:c r="AG168" s="1"/>
      <x:c r="AH168" s="1"/>
    </x:row>
    <x:row r="169" ht="23" customHeight="1">
      <x:c r="A169" s="8"/>
      <x:c r="B169" s="8"/>
      <x:c r="C169" s="9" t="str">
        <x:f>IF(B169="","",IF(COUNTIFS('Roster'!$A$6:$A$205,B169)&lt;&gt;1,"Check roster",IF(INDEX('Roster'!$B$6:$B$205,MATCH(B169,'Roster'!$A$6:$A$205,0))="","Site missing",INDEX('Roster'!$B$6:$B$205,MATCH(B169,'Roster'!$A$6:$A$205,0)))))</x:f>
      </x:c>
      <x:c r="D169" s="6"/>
      <x:c r="E169" s="7"/>
      <x:c r="F169" s="6"/>
      <x:c r="G169" s="6"/>
      <x:c r="H169" s="6"/>
      <x:c r="I169" s="7"/>
      <x:c r="J169" s="6"/>
      <x:c r="K169" s="6"/>
      <x:c r="L169" s="7"/>
      <x:c r="M169" s="7"/>
      <x:c r="N169" s="7"/>
      <x:c r="O169" s="7"/>
      <x:c r="P169" s="7"/>
      <x:c r="Q169" s="6"/>
      <x:c r="R169" s="7"/>
      <x:c r="S169" s="6"/>
      <x:c r="T169" s="6"/>
      <x:c r="U169" s="6"/>
      <x:c r="V169" s="7"/>
      <x:c r="W169" s="6"/>
      <x:c r="X169" s="7"/>
      <x:c r="Y169" s="9" t="str">
        <x:f>IF(A169="","",IF(OR(K169="Complete",K169="Declined",K169="Closed without data"),"Collection closed",IF(OR(I169="",J169=""),"Date unverified",IF(I169&lt;'Dashboard'!$B$4,"Overdue",IF(I169&lt;='Dashboard'!$B$4+'Dashboard'!$B$5,"Due soon","Later")))))</x:f>
      </x:c>
      <x:c r="Z169" s="9" t="str">
        <x:f>IF(A169="","",IF(H169="","Unassigned",IF(AND(L169&lt;&gt;"",M169=""),"Awaiting acknowledgement",IF(AND(R169&lt;&gt;"",R169&lt;'Dashboard'!$B$4),"Action date passed",IF(AND(OR(K169="Not started",K169="In progress",K169="Awaiting return",K169="Received partial",K169="Unable to reach"),OR(Q169="",R169="")),"Next action missing","No handoff flag")))))</x:f>
      </x:c>
      <x:c r="AA169" s="9" t="str">
        <x:f>IF(A169="","",IF(COUNTIFS($A$6:$A$205,A169)&gt;1,"Duplicate task ID",IF(COUNTIFS($B$6:$B$205,B169,$D$6:$D$205,D169,$E$6:$E$205,E169,$F$6:$F$205,F169)&gt;1,"Duplicate cycle/instrument",IF(OR(B169="",C169="Check roster",C169="Site missing",D169="",E169="",F169="",G169="",G169="Needs verification",K169="",S169="",U169="",X169=""),"Missing core fields",IF(AND(OR(K169="Complete",K169="Received partial"),O169=""),"Missing completion date",IF(AND(U169="Verified submitted",OR(V169="",W169="",S169&lt;&gt;"Verified")),"Submission evidence gap",IF(AND(S169="Verified",T169=""),"Source evidence gap","Recorded")))))))</x:f>
      </x:c>
      <x:c r="AB169" s="9" t="str">
        <x:f>IF(A169="","",IF(OR(I169="",J169=""),"Undated",IF(AND(I169&gt;='Dashboard'!$B$6,I169&lt;='Dashboard'!$B$7),"In period","Outside period")))</x:f>
      </x:c>
      <x:c r="AC169" s="9" t="str">
        <x:f>IF(A169="","",IF(AND(OR(K169="Complete",K169="Received partial"),O169&lt;&gt;"",O169&lt;='Dashboard'!$B$4),1,0))</x:f>
      </x:c>
      <x:c r="AD169" s="9" t="str">
        <x:f>IF(A169="","",IF(AND(U169="Verified submitted",V169&lt;&gt;"",V169&lt;='Dashboard'!$B$4,W169&lt;&gt;"",S169="Verified",T169&lt;&gt;""),1,0))</x:f>
      </x:c>
      <x:c r="AE169" s="1"/>
      <x:c r="AF169" s="1"/>
      <x:c r="AG169" s="1"/>
      <x:c r="AH169" s="1"/>
    </x:row>
    <x:row r="170" ht="23" customHeight="1">
      <x:c r="A170" s="8"/>
      <x:c r="B170" s="8"/>
      <x:c r="C170" s="9" t="str">
        <x:f>IF(B170="","",IF(COUNTIFS('Roster'!$A$6:$A$205,B170)&lt;&gt;1,"Check roster",IF(INDEX('Roster'!$B$6:$B$205,MATCH(B170,'Roster'!$A$6:$A$205,0))="","Site missing",INDEX('Roster'!$B$6:$B$205,MATCH(B170,'Roster'!$A$6:$A$205,0)))))</x:f>
      </x:c>
      <x:c r="D170" s="6"/>
      <x:c r="E170" s="7"/>
      <x:c r="F170" s="6"/>
      <x:c r="G170" s="6"/>
      <x:c r="H170" s="6"/>
      <x:c r="I170" s="7"/>
      <x:c r="J170" s="6"/>
      <x:c r="K170" s="6"/>
      <x:c r="L170" s="7"/>
      <x:c r="M170" s="7"/>
      <x:c r="N170" s="7"/>
      <x:c r="O170" s="7"/>
      <x:c r="P170" s="7"/>
      <x:c r="Q170" s="6"/>
      <x:c r="R170" s="7"/>
      <x:c r="S170" s="6"/>
      <x:c r="T170" s="6"/>
      <x:c r="U170" s="6"/>
      <x:c r="V170" s="7"/>
      <x:c r="W170" s="6"/>
      <x:c r="X170" s="7"/>
      <x:c r="Y170" s="9" t="str">
        <x:f>IF(A170="","",IF(OR(K170="Complete",K170="Declined",K170="Closed without data"),"Collection closed",IF(OR(I170="",J170=""),"Date unverified",IF(I170&lt;'Dashboard'!$B$4,"Overdue",IF(I170&lt;='Dashboard'!$B$4+'Dashboard'!$B$5,"Due soon","Later")))))</x:f>
      </x:c>
      <x:c r="Z170" s="9" t="str">
        <x:f>IF(A170="","",IF(H170="","Unassigned",IF(AND(L170&lt;&gt;"",M170=""),"Awaiting acknowledgement",IF(AND(R170&lt;&gt;"",R170&lt;'Dashboard'!$B$4),"Action date passed",IF(AND(OR(K170="Not started",K170="In progress",K170="Awaiting return",K170="Received partial",K170="Unable to reach"),OR(Q170="",R170="")),"Next action missing","No handoff flag")))))</x:f>
      </x:c>
      <x:c r="AA170" s="9" t="str">
        <x:f>IF(A170="","",IF(COUNTIFS($A$6:$A$205,A170)&gt;1,"Duplicate task ID",IF(COUNTIFS($B$6:$B$205,B170,$D$6:$D$205,D170,$E$6:$E$205,E170,$F$6:$F$205,F170)&gt;1,"Duplicate cycle/instrument",IF(OR(B170="",C170="Check roster",C170="Site missing",D170="",E170="",F170="",G170="",G170="Needs verification",K170="",S170="",U170="",X170=""),"Missing core fields",IF(AND(OR(K170="Complete",K170="Received partial"),O170=""),"Missing completion date",IF(AND(U170="Verified submitted",OR(V170="",W170="",S170&lt;&gt;"Verified")),"Submission evidence gap",IF(AND(S170="Verified",T170=""),"Source evidence gap","Recorded")))))))</x:f>
      </x:c>
      <x:c r="AB170" s="9" t="str">
        <x:f>IF(A170="","",IF(OR(I170="",J170=""),"Undated",IF(AND(I170&gt;='Dashboard'!$B$6,I170&lt;='Dashboard'!$B$7),"In period","Outside period")))</x:f>
      </x:c>
      <x:c r="AC170" s="9" t="str">
        <x:f>IF(A170="","",IF(AND(OR(K170="Complete",K170="Received partial"),O170&lt;&gt;"",O170&lt;='Dashboard'!$B$4),1,0))</x:f>
      </x:c>
      <x:c r="AD170" s="9" t="str">
        <x:f>IF(A170="","",IF(AND(U170="Verified submitted",V170&lt;&gt;"",V170&lt;='Dashboard'!$B$4,W170&lt;&gt;"",S170="Verified",T170&lt;&gt;""),1,0))</x:f>
      </x:c>
      <x:c r="AE170" s="1"/>
      <x:c r="AF170" s="1"/>
      <x:c r="AG170" s="1"/>
      <x:c r="AH170" s="1"/>
    </x:row>
    <x:row r="171" ht="23" customHeight="1">
      <x:c r="A171" s="8"/>
      <x:c r="B171" s="8"/>
      <x:c r="C171" s="9" t="str">
        <x:f>IF(B171="","",IF(COUNTIFS('Roster'!$A$6:$A$205,B171)&lt;&gt;1,"Check roster",IF(INDEX('Roster'!$B$6:$B$205,MATCH(B171,'Roster'!$A$6:$A$205,0))="","Site missing",INDEX('Roster'!$B$6:$B$205,MATCH(B171,'Roster'!$A$6:$A$205,0)))))</x:f>
      </x:c>
      <x:c r="D171" s="6"/>
      <x:c r="E171" s="7"/>
      <x:c r="F171" s="6"/>
      <x:c r="G171" s="6"/>
      <x:c r="H171" s="6"/>
      <x:c r="I171" s="7"/>
      <x:c r="J171" s="6"/>
      <x:c r="K171" s="6"/>
      <x:c r="L171" s="7"/>
      <x:c r="M171" s="7"/>
      <x:c r="N171" s="7"/>
      <x:c r="O171" s="7"/>
      <x:c r="P171" s="7"/>
      <x:c r="Q171" s="6"/>
      <x:c r="R171" s="7"/>
      <x:c r="S171" s="6"/>
      <x:c r="T171" s="6"/>
      <x:c r="U171" s="6"/>
      <x:c r="V171" s="7"/>
      <x:c r="W171" s="6"/>
      <x:c r="X171" s="7"/>
      <x:c r="Y171" s="9" t="str">
        <x:f>IF(A171="","",IF(OR(K171="Complete",K171="Declined",K171="Closed without data"),"Collection closed",IF(OR(I171="",J171=""),"Date unverified",IF(I171&lt;'Dashboard'!$B$4,"Overdue",IF(I171&lt;='Dashboard'!$B$4+'Dashboard'!$B$5,"Due soon","Later")))))</x:f>
      </x:c>
      <x:c r="Z171" s="9" t="str">
        <x:f>IF(A171="","",IF(H171="","Unassigned",IF(AND(L171&lt;&gt;"",M171=""),"Awaiting acknowledgement",IF(AND(R171&lt;&gt;"",R171&lt;'Dashboard'!$B$4),"Action date passed",IF(AND(OR(K171="Not started",K171="In progress",K171="Awaiting return",K171="Received partial",K171="Unable to reach"),OR(Q171="",R171="")),"Next action missing","No handoff flag")))))</x:f>
      </x:c>
      <x:c r="AA171" s="9" t="str">
        <x:f>IF(A171="","",IF(COUNTIFS($A$6:$A$205,A171)&gt;1,"Duplicate task ID",IF(COUNTIFS($B$6:$B$205,B171,$D$6:$D$205,D171,$E$6:$E$205,E171,$F$6:$F$205,F171)&gt;1,"Duplicate cycle/instrument",IF(OR(B171="",C171="Check roster",C171="Site missing",D171="",E171="",F171="",G171="",G171="Needs verification",K171="",S171="",U171="",X171=""),"Missing core fields",IF(AND(OR(K171="Complete",K171="Received partial"),O171=""),"Missing completion date",IF(AND(U171="Verified submitted",OR(V171="",W171="",S171&lt;&gt;"Verified")),"Submission evidence gap",IF(AND(S171="Verified",T171=""),"Source evidence gap","Recorded")))))))</x:f>
      </x:c>
      <x:c r="AB171" s="9" t="str">
        <x:f>IF(A171="","",IF(OR(I171="",J171=""),"Undated",IF(AND(I171&gt;='Dashboard'!$B$6,I171&lt;='Dashboard'!$B$7),"In period","Outside period")))</x:f>
      </x:c>
      <x:c r="AC171" s="9" t="str">
        <x:f>IF(A171="","",IF(AND(OR(K171="Complete",K171="Received partial"),O171&lt;&gt;"",O171&lt;='Dashboard'!$B$4),1,0))</x:f>
      </x:c>
      <x:c r="AD171" s="9" t="str">
        <x:f>IF(A171="","",IF(AND(U171="Verified submitted",V171&lt;&gt;"",V171&lt;='Dashboard'!$B$4,W171&lt;&gt;"",S171="Verified",T171&lt;&gt;""),1,0))</x:f>
      </x:c>
      <x:c r="AE171" s="1"/>
      <x:c r="AF171" s="1"/>
      <x:c r="AG171" s="1"/>
      <x:c r="AH171" s="1"/>
    </x:row>
    <x:row r="172" ht="23" customHeight="1">
      <x:c r="A172" s="8"/>
      <x:c r="B172" s="8"/>
      <x:c r="C172" s="9" t="str">
        <x:f>IF(B172="","",IF(COUNTIFS('Roster'!$A$6:$A$205,B172)&lt;&gt;1,"Check roster",IF(INDEX('Roster'!$B$6:$B$205,MATCH(B172,'Roster'!$A$6:$A$205,0))="","Site missing",INDEX('Roster'!$B$6:$B$205,MATCH(B172,'Roster'!$A$6:$A$205,0)))))</x:f>
      </x:c>
      <x:c r="D172" s="6"/>
      <x:c r="E172" s="7"/>
      <x:c r="F172" s="6"/>
      <x:c r="G172" s="6"/>
      <x:c r="H172" s="6"/>
      <x:c r="I172" s="7"/>
      <x:c r="J172" s="6"/>
      <x:c r="K172" s="6"/>
      <x:c r="L172" s="7"/>
      <x:c r="M172" s="7"/>
      <x:c r="N172" s="7"/>
      <x:c r="O172" s="7"/>
      <x:c r="P172" s="7"/>
      <x:c r="Q172" s="6"/>
      <x:c r="R172" s="7"/>
      <x:c r="S172" s="6"/>
      <x:c r="T172" s="6"/>
      <x:c r="U172" s="6"/>
      <x:c r="V172" s="7"/>
      <x:c r="W172" s="6"/>
      <x:c r="X172" s="7"/>
      <x:c r="Y172" s="9" t="str">
        <x:f>IF(A172="","",IF(OR(K172="Complete",K172="Declined",K172="Closed without data"),"Collection closed",IF(OR(I172="",J172=""),"Date unverified",IF(I172&lt;'Dashboard'!$B$4,"Overdue",IF(I172&lt;='Dashboard'!$B$4+'Dashboard'!$B$5,"Due soon","Later")))))</x:f>
      </x:c>
      <x:c r="Z172" s="9" t="str">
        <x:f>IF(A172="","",IF(H172="","Unassigned",IF(AND(L172&lt;&gt;"",M172=""),"Awaiting acknowledgement",IF(AND(R172&lt;&gt;"",R172&lt;'Dashboard'!$B$4),"Action date passed",IF(AND(OR(K172="Not started",K172="In progress",K172="Awaiting return",K172="Received partial",K172="Unable to reach"),OR(Q172="",R172="")),"Next action missing","No handoff flag")))))</x:f>
      </x:c>
      <x:c r="AA172" s="9" t="str">
        <x:f>IF(A172="","",IF(COUNTIFS($A$6:$A$205,A172)&gt;1,"Duplicate task ID",IF(COUNTIFS($B$6:$B$205,B172,$D$6:$D$205,D172,$E$6:$E$205,E172,$F$6:$F$205,F172)&gt;1,"Duplicate cycle/instrument",IF(OR(B172="",C172="Check roster",C172="Site missing",D172="",E172="",F172="",G172="",G172="Needs verification",K172="",S172="",U172="",X172=""),"Missing core fields",IF(AND(OR(K172="Complete",K172="Received partial"),O172=""),"Missing completion date",IF(AND(U172="Verified submitted",OR(V172="",W172="",S172&lt;&gt;"Verified")),"Submission evidence gap",IF(AND(S172="Verified",T172=""),"Source evidence gap","Recorded")))))))</x:f>
      </x:c>
      <x:c r="AB172" s="9" t="str">
        <x:f>IF(A172="","",IF(OR(I172="",J172=""),"Undated",IF(AND(I172&gt;='Dashboard'!$B$6,I172&lt;='Dashboard'!$B$7),"In period","Outside period")))</x:f>
      </x:c>
      <x:c r="AC172" s="9" t="str">
        <x:f>IF(A172="","",IF(AND(OR(K172="Complete",K172="Received partial"),O172&lt;&gt;"",O172&lt;='Dashboard'!$B$4),1,0))</x:f>
      </x:c>
      <x:c r="AD172" s="9" t="str">
        <x:f>IF(A172="","",IF(AND(U172="Verified submitted",V172&lt;&gt;"",V172&lt;='Dashboard'!$B$4,W172&lt;&gt;"",S172="Verified",T172&lt;&gt;""),1,0))</x:f>
      </x:c>
      <x:c r="AE172" s="1"/>
      <x:c r="AF172" s="1"/>
      <x:c r="AG172" s="1"/>
      <x:c r="AH172" s="1"/>
    </x:row>
    <x:row r="173" ht="23" customHeight="1">
      <x:c r="A173" s="8"/>
      <x:c r="B173" s="8"/>
      <x:c r="C173" s="9" t="str">
        <x:f>IF(B173="","",IF(COUNTIFS('Roster'!$A$6:$A$205,B173)&lt;&gt;1,"Check roster",IF(INDEX('Roster'!$B$6:$B$205,MATCH(B173,'Roster'!$A$6:$A$205,0))="","Site missing",INDEX('Roster'!$B$6:$B$205,MATCH(B173,'Roster'!$A$6:$A$205,0)))))</x:f>
      </x:c>
      <x:c r="D173" s="6"/>
      <x:c r="E173" s="7"/>
      <x:c r="F173" s="6"/>
      <x:c r="G173" s="6"/>
      <x:c r="H173" s="6"/>
      <x:c r="I173" s="7"/>
      <x:c r="J173" s="6"/>
      <x:c r="K173" s="6"/>
      <x:c r="L173" s="7"/>
      <x:c r="M173" s="7"/>
      <x:c r="N173" s="7"/>
      <x:c r="O173" s="7"/>
      <x:c r="P173" s="7"/>
      <x:c r="Q173" s="6"/>
      <x:c r="R173" s="7"/>
      <x:c r="S173" s="6"/>
      <x:c r="T173" s="6"/>
      <x:c r="U173" s="6"/>
      <x:c r="V173" s="7"/>
      <x:c r="W173" s="6"/>
      <x:c r="X173" s="7"/>
      <x:c r="Y173" s="9" t="str">
        <x:f>IF(A173="","",IF(OR(K173="Complete",K173="Declined",K173="Closed without data"),"Collection closed",IF(OR(I173="",J173=""),"Date unverified",IF(I173&lt;'Dashboard'!$B$4,"Overdue",IF(I173&lt;='Dashboard'!$B$4+'Dashboard'!$B$5,"Due soon","Later")))))</x:f>
      </x:c>
      <x:c r="Z173" s="9" t="str">
        <x:f>IF(A173="","",IF(H173="","Unassigned",IF(AND(L173&lt;&gt;"",M173=""),"Awaiting acknowledgement",IF(AND(R173&lt;&gt;"",R173&lt;'Dashboard'!$B$4),"Action date passed",IF(AND(OR(K173="Not started",K173="In progress",K173="Awaiting return",K173="Received partial",K173="Unable to reach"),OR(Q173="",R173="")),"Next action missing","No handoff flag")))))</x:f>
      </x:c>
      <x:c r="AA173" s="9" t="str">
        <x:f>IF(A173="","",IF(COUNTIFS($A$6:$A$205,A173)&gt;1,"Duplicate task ID",IF(COUNTIFS($B$6:$B$205,B173,$D$6:$D$205,D173,$E$6:$E$205,E173,$F$6:$F$205,F173)&gt;1,"Duplicate cycle/instrument",IF(OR(B173="",C173="Check roster",C173="Site missing",D173="",E173="",F173="",G173="",G173="Needs verification",K173="",S173="",U173="",X173=""),"Missing core fields",IF(AND(OR(K173="Complete",K173="Received partial"),O173=""),"Missing completion date",IF(AND(U173="Verified submitted",OR(V173="",W173="",S173&lt;&gt;"Verified")),"Submission evidence gap",IF(AND(S173="Verified",T173=""),"Source evidence gap","Recorded")))))))</x:f>
      </x:c>
      <x:c r="AB173" s="9" t="str">
        <x:f>IF(A173="","",IF(OR(I173="",J173=""),"Undated",IF(AND(I173&gt;='Dashboard'!$B$6,I173&lt;='Dashboard'!$B$7),"In period","Outside period")))</x:f>
      </x:c>
      <x:c r="AC173" s="9" t="str">
        <x:f>IF(A173="","",IF(AND(OR(K173="Complete",K173="Received partial"),O173&lt;&gt;"",O173&lt;='Dashboard'!$B$4),1,0))</x:f>
      </x:c>
      <x:c r="AD173" s="9" t="str">
        <x:f>IF(A173="","",IF(AND(U173="Verified submitted",V173&lt;&gt;"",V173&lt;='Dashboard'!$B$4,W173&lt;&gt;"",S173="Verified",T173&lt;&gt;""),1,0))</x:f>
      </x:c>
      <x:c r="AE173" s="1"/>
      <x:c r="AF173" s="1"/>
      <x:c r="AG173" s="1"/>
      <x:c r="AH173" s="1"/>
    </x:row>
    <x:row r="174" ht="23" customHeight="1">
      <x:c r="A174" s="8"/>
      <x:c r="B174" s="8"/>
      <x:c r="C174" s="9" t="str">
        <x:f>IF(B174="","",IF(COUNTIFS('Roster'!$A$6:$A$205,B174)&lt;&gt;1,"Check roster",IF(INDEX('Roster'!$B$6:$B$205,MATCH(B174,'Roster'!$A$6:$A$205,0))="","Site missing",INDEX('Roster'!$B$6:$B$205,MATCH(B174,'Roster'!$A$6:$A$205,0)))))</x:f>
      </x:c>
      <x:c r="D174" s="6"/>
      <x:c r="E174" s="7"/>
      <x:c r="F174" s="6"/>
      <x:c r="G174" s="6"/>
      <x:c r="H174" s="6"/>
      <x:c r="I174" s="7"/>
      <x:c r="J174" s="6"/>
      <x:c r="K174" s="6"/>
      <x:c r="L174" s="7"/>
      <x:c r="M174" s="7"/>
      <x:c r="N174" s="7"/>
      <x:c r="O174" s="7"/>
      <x:c r="P174" s="7"/>
      <x:c r="Q174" s="6"/>
      <x:c r="R174" s="7"/>
      <x:c r="S174" s="6"/>
      <x:c r="T174" s="6"/>
      <x:c r="U174" s="6"/>
      <x:c r="V174" s="7"/>
      <x:c r="W174" s="6"/>
      <x:c r="X174" s="7"/>
      <x:c r="Y174" s="9" t="str">
        <x:f>IF(A174="","",IF(OR(K174="Complete",K174="Declined",K174="Closed without data"),"Collection closed",IF(OR(I174="",J174=""),"Date unverified",IF(I174&lt;'Dashboard'!$B$4,"Overdue",IF(I174&lt;='Dashboard'!$B$4+'Dashboard'!$B$5,"Due soon","Later")))))</x:f>
      </x:c>
      <x:c r="Z174" s="9" t="str">
        <x:f>IF(A174="","",IF(H174="","Unassigned",IF(AND(L174&lt;&gt;"",M174=""),"Awaiting acknowledgement",IF(AND(R174&lt;&gt;"",R174&lt;'Dashboard'!$B$4),"Action date passed",IF(AND(OR(K174="Not started",K174="In progress",K174="Awaiting return",K174="Received partial",K174="Unable to reach"),OR(Q174="",R174="")),"Next action missing","No handoff flag")))))</x:f>
      </x:c>
      <x:c r="AA174" s="9" t="str">
        <x:f>IF(A174="","",IF(COUNTIFS($A$6:$A$205,A174)&gt;1,"Duplicate task ID",IF(COUNTIFS($B$6:$B$205,B174,$D$6:$D$205,D174,$E$6:$E$205,E174,$F$6:$F$205,F174)&gt;1,"Duplicate cycle/instrument",IF(OR(B174="",C174="Check roster",C174="Site missing",D174="",E174="",F174="",G174="",G174="Needs verification",K174="",S174="",U174="",X174=""),"Missing core fields",IF(AND(OR(K174="Complete",K174="Received partial"),O174=""),"Missing completion date",IF(AND(U174="Verified submitted",OR(V174="",W174="",S174&lt;&gt;"Verified")),"Submission evidence gap",IF(AND(S174="Verified",T174=""),"Source evidence gap","Recorded")))))))</x:f>
      </x:c>
      <x:c r="AB174" s="9" t="str">
        <x:f>IF(A174="","",IF(OR(I174="",J174=""),"Undated",IF(AND(I174&gt;='Dashboard'!$B$6,I174&lt;='Dashboard'!$B$7),"In period","Outside period")))</x:f>
      </x:c>
      <x:c r="AC174" s="9" t="str">
        <x:f>IF(A174="","",IF(AND(OR(K174="Complete",K174="Received partial"),O174&lt;&gt;"",O174&lt;='Dashboard'!$B$4),1,0))</x:f>
      </x:c>
      <x:c r="AD174" s="9" t="str">
        <x:f>IF(A174="","",IF(AND(U174="Verified submitted",V174&lt;&gt;"",V174&lt;='Dashboard'!$B$4,W174&lt;&gt;"",S174="Verified",T174&lt;&gt;""),1,0))</x:f>
      </x:c>
      <x:c r="AE174" s="1"/>
      <x:c r="AF174" s="1"/>
      <x:c r="AG174" s="1"/>
      <x:c r="AH174" s="1"/>
    </x:row>
    <x:row r="175" ht="23" customHeight="1">
      <x:c r="A175" s="8"/>
      <x:c r="B175" s="8"/>
      <x:c r="C175" s="9" t="str">
        <x:f>IF(B175="","",IF(COUNTIFS('Roster'!$A$6:$A$205,B175)&lt;&gt;1,"Check roster",IF(INDEX('Roster'!$B$6:$B$205,MATCH(B175,'Roster'!$A$6:$A$205,0))="","Site missing",INDEX('Roster'!$B$6:$B$205,MATCH(B175,'Roster'!$A$6:$A$205,0)))))</x:f>
      </x:c>
      <x:c r="D175" s="6"/>
      <x:c r="E175" s="7"/>
      <x:c r="F175" s="6"/>
      <x:c r="G175" s="6"/>
      <x:c r="H175" s="6"/>
      <x:c r="I175" s="7"/>
      <x:c r="J175" s="6"/>
      <x:c r="K175" s="6"/>
      <x:c r="L175" s="7"/>
      <x:c r="M175" s="7"/>
      <x:c r="N175" s="7"/>
      <x:c r="O175" s="7"/>
      <x:c r="P175" s="7"/>
      <x:c r="Q175" s="6"/>
      <x:c r="R175" s="7"/>
      <x:c r="S175" s="6"/>
      <x:c r="T175" s="6"/>
      <x:c r="U175" s="6"/>
      <x:c r="V175" s="7"/>
      <x:c r="W175" s="6"/>
      <x:c r="X175" s="7"/>
      <x:c r="Y175" s="9" t="str">
        <x:f>IF(A175="","",IF(OR(K175="Complete",K175="Declined",K175="Closed without data"),"Collection closed",IF(OR(I175="",J175=""),"Date unverified",IF(I175&lt;'Dashboard'!$B$4,"Overdue",IF(I175&lt;='Dashboard'!$B$4+'Dashboard'!$B$5,"Due soon","Later")))))</x:f>
      </x:c>
      <x:c r="Z175" s="9" t="str">
        <x:f>IF(A175="","",IF(H175="","Unassigned",IF(AND(L175&lt;&gt;"",M175=""),"Awaiting acknowledgement",IF(AND(R175&lt;&gt;"",R175&lt;'Dashboard'!$B$4),"Action date passed",IF(AND(OR(K175="Not started",K175="In progress",K175="Awaiting return",K175="Received partial",K175="Unable to reach"),OR(Q175="",R175="")),"Next action missing","No handoff flag")))))</x:f>
      </x:c>
      <x:c r="AA175" s="9" t="str">
        <x:f>IF(A175="","",IF(COUNTIFS($A$6:$A$205,A175)&gt;1,"Duplicate task ID",IF(COUNTIFS($B$6:$B$205,B175,$D$6:$D$205,D175,$E$6:$E$205,E175,$F$6:$F$205,F175)&gt;1,"Duplicate cycle/instrument",IF(OR(B175="",C175="Check roster",C175="Site missing",D175="",E175="",F175="",G175="",G175="Needs verification",K175="",S175="",U175="",X175=""),"Missing core fields",IF(AND(OR(K175="Complete",K175="Received partial"),O175=""),"Missing completion date",IF(AND(U175="Verified submitted",OR(V175="",W175="",S175&lt;&gt;"Verified")),"Submission evidence gap",IF(AND(S175="Verified",T175=""),"Source evidence gap","Recorded")))))))</x:f>
      </x:c>
      <x:c r="AB175" s="9" t="str">
        <x:f>IF(A175="","",IF(OR(I175="",J175=""),"Undated",IF(AND(I175&gt;='Dashboard'!$B$6,I175&lt;='Dashboard'!$B$7),"In period","Outside period")))</x:f>
      </x:c>
      <x:c r="AC175" s="9" t="str">
        <x:f>IF(A175="","",IF(AND(OR(K175="Complete",K175="Received partial"),O175&lt;&gt;"",O175&lt;='Dashboard'!$B$4),1,0))</x:f>
      </x:c>
      <x:c r="AD175" s="9" t="str">
        <x:f>IF(A175="","",IF(AND(U175="Verified submitted",V175&lt;&gt;"",V175&lt;='Dashboard'!$B$4,W175&lt;&gt;"",S175="Verified",T175&lt;&gt;""),1,0))</x:f>
      </x:c>
      <x:c r="AE175" s="1"/>
      <x:c r="AF175" s="1"/>
      <x:c r="AG175" s="1"/>
      <x:c r="AH175" s="1"/>
    </x:row>
    <x:row r="176" ht="23" customHeight="1">
      <x:c r="A176" s="8"/>
      <x:c r="B176" s="8"/>
      <x:c r="C176" s="9" t="str">
        <x:f>IF(B176="","",IF(COUNTIFS('Roster'!$A$6:$A$205,B176)&lt;&gt;1,"Check roster",IF(INDEX('Roster'!$B$6:$B$205,MATCH(B176,'Roster'!$A$6:$A$205,0))="","Site missing",INDEX('Roster'!$B$6:$B$205,MATCH(B176,'Roster'!$A$6:$A$205,0)))))</x:f>
      </x:c>
      <x:c r="D176" s="6"/>
      <x:c r="E176" s="7"/>
      <x:c r="F176" s="6"/>
      <x:c r="G176" s="6"/>
      <x:c r="H176" s="6"/>
      <x:c r="I176" s="7"/>
      <x:c r="J176" s="6"/>
      <x:c r="K176" s="6"/>
      <x:c r="L176" s="7"/>
      <x:c r="M176" s="7"/>
      <x:c r="N176" s="7"/>
      <x:c r="O176" s="7"/>
      <x:c r="P176" s="7"/>
      <x:c r="Q176" s="6"/>
      <x:c r="R176" s="7"/>
      <x:c r="S176" s="6"/>
      <x:c r="T176" s="6"/>
      <x:c r="U176" s="6"/>
      <x:c r="V176" s="7"/>
      <x:c r="W176" s="6"/>
      <x:c r="X176" s="7"/>
      <x:c r="Y176" s="9" t="str">
        <x:f>IF(A176="","",IF(OR(K176="Complete",K176="Declined",K176="Closed without data"),"Collection closed",IF(OR(I176="",J176=""),"Date unverified",IF(I176&lt;'Dashboard'!$B$4,"Overdue",IF(I176&lt;='Dashboard'!$B$4+'Dashboard'!$B$5,"Due soon","Later")))))</x:f>
      </x:c>
      <x:c r="Z176" s="9" t="str">
        <x:f>IF(A176="","",IF(H176="","Unassigned",IF(AND(L176&lt;&gt;"",M176=""),"Awaiting acknowledgement",IF(AND(R176&lt;&gt;"",R176&lt;'Dashboard'!$B$4),"Action date passed",IF(AND(OR(K176="Not started",K176="In progress",K176="Awaiting return",K176="Received partial",K176="Unable to reach"),OR(Q176="",R176="")),"Next action missing","No handoff flag")))))</x:f>
      </x:c>
      <x:c r="AA176" s="9" t="str">
        <x:f>IF(A176="","",IF(COUNTIFS($A$6:$A$205,A176)&gt;1,"Duplicate task ID",IF(COUNTIFS($B$6:$B$205,B176,$D$6:$D$205,D176,$E$6:$E$205,E176,$F$6:$F$205,F176)&gt;1,"Duplicate cycle/instrument",IF(OR(B176="",C176="Check roster",C176="Site missing",D176="",E176="",F176="",G176="",G176="Needs verification",K176="",S176="",U176="",X176=""),"Missing core fields",IF(AND(OR(K176="Complete",K176="Received partial"),O176=""),"Missing completion date",IF(AND(U176="Verified submitted",OR(V176="",W176="",S176&lt;&gt;"Verified")),"Submission evidence gap",IF(AND(S176="Verified",T176=""),"Source evidence gap","Recorded")))))))</x:f>
      </x:c>
      <x:c r="AB176" s="9" t="str">
        <x:f>IF(A176="","",IF(OR(I176="",J176=""),"Undated",IF(AND(I176&gt;='Dashboard'!$B$6,I176&lt;='Dashboard'!$B$7),"In period","Outside period")))</x:f>
      </x:c>
      <x:c r="AC176" s="9" t="str">
        <x:f>IF(A176="","",IF(AND(OR(K176="Complete",K176="Received partial"),O176&lt;&gt;"",O176&lt;='Dashboard'!$B$4),1,0))</x:f>
      </x:c>
      <x:c r="AD176" s="9" t="str">
        <x:f>IF(A176="","",IF(AND(U176="Verified submitted",V176&lt;&gt;"",V176&lt;='Dashboard'!$B$4,W176&lt;&gt;"",S176="Verified",T176&lt;&gt;""),1,0))</x:f>
      </x:c>
      <x:c r="AE176" s="1"/>
      <x:c r="AF176" s="1"/>
      <x:c r="AG176" s="1"/>
      <x:c r="AH176" s="1"/>
    </x:row>
    <x:row r="177" ht="23" customHeight="1">
      <x:c r="A177" s="8"/>
      <x:c r="B177" s="8"/>
      <x:c r="C177" s="9" t="str">
        <x:f>IF(B177="","",IF(COUNTIFS('Roster'!$A$6:$A$205,B177)&lt;&gt;1,"Check roster",IF(INDEX('Roster'!$B$6:$B$205,MATCH(B177,'Roster'!$A$6:$A$205,0))="","Site missing",INDEX('Roster'!$B$6:$B$205,MATCH(B177,'Roster'!$A$6:$A$205,0)))))</x:f>
      </x:c>
      <x:c r="D177" s="6"/>
      <x:c r="E177" s="7"/>
      <x:c r="F177" s="6"/>
      <x:c r="G177" s="6"/>
      <x:c r="H177" s="6"/>
      <x:c r="I177" s="7"/>
      <x:c r="J177" s="6"/>
      <x:c r="K177" s="6"/>
      <x:c r="L177" s="7"/>
      <x:c r="M177" s="7"/>
      <x:c r="N177" s="7"/>
      <x:c r="O177" s="7"/>
      <x:c r="P177" s="7"/>
      <x:c r="Q177" s="6"/>
      <x:c r="R177" s="7"/>
      <x:c r="S177" s="6"/>
      <x:c r="T177" s="6"/>
      <x:c r="U177" s="6"/>
      <x:c r="V177" s="7"/>
      <x:c r="W177" s="6"/>
      <x:c r="X177" s="7"/>
      <x:c r="Y177" s="9" t="str">
        <x:f>IF(A177="","",IF(OR(K177="Complete",K177="Declined",K177="Closed without data"),"Collection closed",IF(OR(I177="",J177=""),"Date unverified",IF(I177&lt;'Dashboard'!$B$4,"Overdue",IF(I177&lt;='Dashboard'!$B$4+'Dashboard'!$B$5,"Due soon","Later")))))</x:f>
      </x:c>
      <x:c r="Z177" s="9" t="str">
        <x:f>IF(A177="","",IF(H177="","Unassigned",IF(AND(L177&lt;&gt;"",M177=""),"Awaiting acknowledgement",IF(AND(R177&lt;&gt;"",R177&lt;'Dashboard'!$B$4),"Action date passed",IF(AND(OR(K177="Not started",K177="In progress",K177="Awaiting return",K177="Received partial",K177="Unable to reach"),OR(Q177="",R177="")),"Next action missing","No handoff flag")))))</x:f>
      </x:c>
      <x:c r="AA177" s="9" t="str">
        <x:f>IF(A177="","",IF(COUNTIFS($A$6:$A$205,A177)&gt;1,"Duplicate task ID",IF(COUNTIFS($B$6:$B$205,B177,$D$6:$D$205,D177,$E$6:$E$205,E177,$F$6:$F$205,F177)&gt;1,"Duplicate cycle/instrument",IF(OR(B177="",C177="Check roster",C177="Site missing",D177="",E177="",F177="",G177="",G177="Needs verification",K177="",S177="",U177="",X177=""),"Missing core fields",IF(AND(OR(K177="Complete",K177="Received partial"),O177=""),"Missing completion date",IF(AND(U177="Verified submitted",OR(V177="",W177="",S177&lt;&gt;"Verified")),"Submission evidence gap",IF(AND(S177="Verified",T177=""),"Source evidence gap","Recorded")))))))</x:f>
      </x:c>
      <x:c r="AB177" s="9" t="str">
        <x:f>IF(A177="","",IF(OR(I177="",J177=""),"Undated",IF(AND(I177&gt;='Dashboard'!$B$6,I177&lt;='Dashboard'!$B$7),"In period","Outside period")))</x:f>
      </x:c>
      <x:c r="AC177" s="9" t="str">
        <x:f>IF(A177="","",IF(AND(OR(K177="Complete",K177="Received partial"),O177&lt;&gt;"",O177&lt;='Dashboard'!$B$4),1,0))</x:f>
      </x:c>
      <x:c r="AD177" s="9" t="str">
        <x:f>IF(A177="","",IF(AND(U177="Verified submitted",V177&lt;&gt;"",V177&lt;='Dashboard'!$B$4,W177&lt;&gt;"",S177="Verified",T177&lt;&gt;""),1,0))</x:f>
      </x:c>
      <x:c r="AE177" s="1"/>
      <x:c r="AF177" s="1"/>
      <x:c r="AG177" s="1"/>
      <x:c r="AH177" s="1"/>
    </x:row>
    <x:row r="178" ht="23" customHeight="1">
      <x:c r="A178" s="8"/>
      <x:c r="B178" s="8"/>
      <x:c r="C178" s="9" t="str">
        <x:f>IF(B178="","",IF(COUNTIFS('Roster'!$A$6:$A$205,B178)&lt;&gt;1,"Check roster",IF(INDEX('Roster'!$B$6:$B$205,MATCH(B178,'Roster'!$A$6:$A$205,0))="","Site missing",INDEX('Roster'!$B$6:$B$205,MATCH(B178,'Roster'!$A$6:$A$205,0)))))</x:f>
      </x:c>
      <x:c r="D178" s="6"/>
      <x:c r="E178" s="7"/>
      <x:c r="F178" s="6"/>
      <x:c r="G178" s="6"/>
      <x:c r="H178" s="6"/>
      <x:c r="I178" s="7"/>
      <x:c r="J178" s="6"/>
      <x:c r="K178" s="6"/>
      <x:c r="L178" s="7"/>
      <x:c r="M178" s="7"/>
      <x:c r="N178" s="7"/>
      <x:c r="O178" s="7"/>
      <x:c r="P178" s="7"/>
      <x:c r="Q178" s="6"/>
      <x:c r="R178" s="7"/>
      <x:c r="S178" s="6"/>
      <x:c r="T178" s="6"/>
      <x:c r="U178" s="6"/>
      <x:c r="V178" s="7"/>
      <x:c r="W178" s="6"/>
      <x:c r="X178" s="7"/>
      <x:c r="Y178" s="9" t="str">
        <x:f>IF(A178="","",IF(OR(K178="Complete",K178="Declined",K178="Closed without data"),"Collection closed",IF(OR(I178="",J178=""),"Date unverified",IF(I178&lt;'Dashboard'!$B$4,"Overdue",IF(I178&lt;='Dashboard'!$B$4+'Dashboard'!$B$5,"Due soon","Later")))))</x:f>
      </x:c>
      <x:c r="Z178" s="9" t="str">
        <x:f>IF(A178="","",IF(H178="","Unassigned",IF(AND(L178&lt;&gt;"",M178=""),"Awaiting acknowledgement",IF(AND(R178&lt;&gt;"",R178&lt;'Dashboard'!$B$4),"Action date passed",IF(AND(OR(K178="Not started",K178="In progress",K178="Awaiting return",K178="Received partial",K178="Unable to reach"),OR(Q178="",R178="")),"Next action missing","No handoff flag")))))</x:f>
      </x:c>
      <x:c r="AA178" s="9" t="str">
        <x:f>IF(A178="","",IF(COUNTIFS($A$6:$A$205,A178)&gt;1,"Duplicate task ID",IF(COUNTIFS($B$6:$B$205,B178,$D$6:$D$205,D178,$E$6:$E$205,E178,$F$6:$F$205,F178)&gt;1,"Duplicate cycle/instrument",IF(OR(B178="",C178="Check roster",C178="Site missing",D178="",E178="",F178="",G178="",G178="Needs verification",K178="",S178="",U178="",X178=""),"Missing core fields",IF(AND(OR(K178="Complete",K178="Received partial"),O178=""),"Missing completion date",IF(AND(U178="Verified submitted",OR(V178="",W178="",S178&lt;&gt;"Verified")),"Submission evidence gap",IF(AND(S178="Verified",T178=""),"Source evidence gap","Recorded")))))))</x:f>
      </x:c>
      <x:c r="AB178" s="9" t="str">
        <x:f>IF(A178="","",IF(OR(I178="",J178=""),"Undated",IF(AND(I178&gt;='Dashboard'!$B$6,I178&lt;='Dashboard'!$B$7),"In period","Outside period")))</x:f>
      </x:c>
      <x:c r="AC178" s="9" t="str">
        <x:f>IF(A178="","",IF(AND(OR(K178="Complete",K178="Received partial"),O178&lt;&gt;"",O178&lt;='Dashboard'!$B$4),1,0))</x:f>
      </x:c>
      <x:c r="AD178" s="9" t="str">
        <x:f>IF(A178="","",IF(AND(U178="Verified submitted",V178&lt;&gt;"",V178&lt;='Dashboard'!$B$4,W178&lt;&gt;"",S178="Verified",T178&lt;&gt;""),1,0))</x:f>
      </x:c>
      <x:c r="AE178" s="1"/>
      <x:c r="AF178" s="1"/>
      <x:c r="AG178" s="1"/>
      <x:c r="AH178" s="1"/>
    </x:row>
    <x:row r="179" ht="23" customHeight="1">
      <x:c r="A179" s="8"/>
      <x:c r="B179" s="8"/>
      <x:c r="C179" s="9" t="str">
        <x:f>IF(B179="","",IF(COUNTIFS('Roster'!$A$6:$A$205,B179)&lt;&gt;1,"Check roster",IF(INDEX('Roster'!$B$6:$B$205,MATCH(B179,'Roster'!$A$6:$A$205,0))="","Site missing",INDEX('Roster'!$B$6:$B$205,MATCH(B179,'Roster'!$A$6:$A$205,0)))))</x:f>
      </x:c>
      <x:c r="D179" s="6"/>
      <x:c r="E179" s="7"/>
      <x:c r="F179" s="6"/>
      <x:c r="G179" s="6"/>
      <x:c r="H179" s="6"/>
      <x:c r="I179" s="7"/>
      <x:c r="J179" s="6"/>
      <x:c r="K179" s="6"/>
      <x:c r="L179" s="7"/>
      <x:c r="M179" s="7"/>
      <x:c r="N179" s="7"/>
      <x:c r="O179" s="7"/>
      <x:c r="P179" s="7"/>
      <x:c r="Q179" s="6"/>
      <x:c r="R179" s="7"/>
      <x:c r="S179" s="6"/>
      <x:c r="T179" s="6"/>
      <x:c r="U179" s="6"/>
      <x:c r="V179" s="7"/>
      <x:c r="W179" s="6"/>
      <x:c r="X179" s="7"/>
      <x:c r="Y179" s="9" t="str">
        <x:f>IF(A179="","",IF(OR(K179="Complete",K179="Declined",K179="Closed without data"),"Collection closed",IF(OR(I179="",J179=""),"Date unverified",IF(I179&lt;'Dashboard'!$B$4,"Overdue",IF(I179&lt;='Dashboard'!$B$4+'Dashboard'!$B$5,"Due soon","Later")))))</x:f>
      </x:c>
      <x:c r="Z179" s="9" t="str">
        <x:f>IF(A179="","",IF(H179="","Unassigned",IF(AND(L179&lt;&gt;"",M179=""),"Awaiting acknowledgement",IF(AND(R179&lt;&gt;"",R179&lt;'Dashboard'!$B$4),"Action date passed",IF(AND(OR(K179="Not started",K179="In progress",K179="Awaiting return",K179="Received partial",K179="Unable to reach"),OR(Q179="",R179="")),"Next action missing","No handoff flag")))))</x:f>
      </x:c>
      <x:c r="AA179" s="9" t="str">
        <x:f>IF(A179="","",IF(COUNTIFS($A$6:$A$205,A179)&gt;1,"Duplicate task ID",IF(COUNTIFS($B$6:$B$205,B179,$D$6:$D$205,D179,$E$6:$E$205,E179,$F$6:$F$205,F179)&gt;1,"Duplicate cycle/instrument",IF(OR(B179="",C179="Check roster",C179="Site missing",D179="",E179="",F179="",G179="",G179="Needs verification",K179="",S179="",U179="",X179=""),"Missing core fields",IF(AND(OR(K179="Complete",K179="Received partial"),O179=""),"Missing completion date",IF(AND(U179="Verified submitted",OR(V179="",W179="",S179&lt;&gt;"Verified")),"Submission evidence gap",IF(AND(S179="Verified",T179=""),"Source evidence gap","Recorded")))))))</x:f>
      </x:c>
      <x:c r="AB179" s="9" t="str">
        <x:f>IF(A179="","",IF(OR(I179="",J179=""),"Undated",IF(AND(I179&gt;='Dashboard'!$B$6,I179&lt;='Dashboard'!$B$7),"In period","Outside period")))</x:f>
      </x:c>
      <x:c r="AC179" s="9" t="str">
        <x:f>IF(A179="","",IF(AND(OR(K179="Complete",K179="Received partial"),O179&lt;&gt;"",O179&lt;='Dashboard'!$B$4),1,0))</x:f>
      </x:c>
      <x:c r="AD179" s="9" t="str">
        <x:f>IF(A179="","",IF(AND(U179="Verified submitted",V179&lt;&gt;"",V179&lt;='Dashboard'!$B$4,W179&lt;&gt;"",S179="Verified",T179&lt;&gt;""),1,0))</x:f>
      </x:c>
      <x:c r="AE179" s="1"/>
      <x:c r="AF179" s="1"/>
      <x:c r="AG179" s="1"/>
      <x:c r="AH179" s="1"/>
    </x:row>
    <x:row r="180" ht="23" customHeight="1">
      <x:c r="A180" s="8"/>
      <x:c r="B180" s="8"/>
      <x:c r="C180" s="9" t="str">
        <x:f>IF(B180="","",IF(COUNTIFS('Roster'!$A$6:$A$205,B180)&lt;&gt;1,"Check roster",IF(INDEX('Roster'!$B$6:$B$205,MATCH(B180,'Roster'!$A$6:$A$205,0))="","Site missing",INDEX('Roster'!$B$6:$B$205,MATCH(B180,'Roster'!$A$6:$A$205,0)))))</x:f>
      </x:c>
      <x:c r="D180" s="6"/>
      <x:c r="E180" s="7"/>
      <x:c r="F180" s="6"/>
      <x:c r="G180" s="6"/>
      <x:c r="H180" s="6"/>
      <x:c r="I180" s="7"/>
      <x:c r="J180" s="6"/>
      <x:c r="K180" s="6"/>
      <x:c r="L180" s="7"/>
      <x:c r="M180" s="7"/>
      <x:c r="N180" s="7"/>
      <x:c r="O180" s="7"/>
      <x:c r="P180" s="7"/>
      <x:c r="Q180" s="6"/>
      <x:c r="R180" s="7"/>
      <x:c r="S180" s="6"/>
      <x:c r="T180" s="6"/>
      <x:c r="U180" s="6"/>
      <x:c r="V180" s="7"/>
      <x:c r="W180" s="6"/>
      <x:c r="X180" s="7"/>
      <x:c r="Y180" s="9" t="str">
        <x:f>IF(A180="","",IF(OR(K180="Complete",K180="Declined",K180="Closed without data"),"Collection closed",IF(OR(I180="",J180=""),"Date unverified",IF(I180&lt;'Dashboard'!$B$4,"Overdue",IF(I180&lt;='Dashboard'!$B$4+'Dashboard'!$B$5,"Due soon","Later")))))</x:f>
      </x:c>
      <x:c r="Z180" s="9" t="str">
        <x:f>IF(A180="","",IF(H180="","Unassigned",IF(AND(L180&lt;&gt;"",M180=""),"Awaiting acknowledgement",IF(AND(R180&lt;&gt;"",R180&lt;'Dashboard'!$B$4),"Action date passed",IF(AND(OR(K180="Not started",K180="In progress",K180="Awaiting return",K180="Received partial",K180="Unable to reach"),OR(Q180="",R180="")),"Next action missing","No handoff flag")))))</x:f>
      </x:c>
      <x:c r="AA180" s="9" t="str">
        <x:f>IF(A180="","",IF(COUNTIFS($A$6:$A$205,A180)&gt;1,"Duplicate task ID",IF(COUNTIFS($B$6:$B$205,B180,$D$6:$D$205,D180,$E$6:$E$205,E180,$F$6:$F$205,F180)&gt;1,"Duplicate cycle/instrument",IF(OR(B180="",C180="Check roster",C180="Site missing",D180="",E180="",F180="",G180="",G180="Needs verification",K180="",S180="",U180="",X180=""),"Missing core fields",IF(AND(OR(K180="Complete",K180="Received partial"),O180=""),"Missing completion date",IF(AND(U180="Verified submitted",OR(V180="",W180="",S180&lt;&gt;"Verified")),"Submission evidence gap",IF(AND(S180="Verified",T180=""),"Source evidence gap","Recorded")))))))</x:f>
      </x:c>
      <x:c r="AB180" s="9" t="str">
        <x:f>IF(A180="","",IF(OR(I180="",J180=""),"Undated",IF(AND(I180&gt;='Dashboard'!$B$6,I180&lt;='Dashboard'!$B$7),"In period","Outside period")))</x:f>
      </x:c>
      <x:c r="AC180" s="9" t="str">
        <x:f>IF(A180="","",IF(AND(OR(K180="Complete",K180="Received partial"),O180&lt;&gt;"",O180&lt;='Dashboard'!$B$4),1,0))</x:f>
      </x:c>
      <x:c r="AD180" s="9" t="str">
        <x:f>IF(A180="","",IF(AND(U180="Verified submitted",V180&lt;&gt;"",V180&lt;='Dashboard'!$B$4,W180&lt;&gt;"",S180="Verified",T180&lt;&gt;""),1,0))</x:f>
      </x:c>
      <x:c r="AE180" s="1"/>
      <x:c r="AF180" s="1"/>
      <x:c r="AG180" s="1"/>
      <x:c r="AH180" s="1"/>
    </x:row>
    <x:row r="181" ht="23" customHeight="1">
      <x:c r="A181" s="8"/>
      <x:c r="B181" s="8"/>
      <x:c r="C181" s="9" t="str">
        <x:f>IF(B181="","",IF(COUNTIFS('Roster'!$A$6:$A$205,B181)&lt;&gt;1,"Check roster",IF(INDEX('Roster'!$B$6:$B$205,MATCH(B181,'Roster'!$A$6:$A$205,0))="","Site missing",INDEX('Roster'!$B$6:$B$205,MATCH(B181,'Roster'!$A$6:$A$205,0)))))</x:f>
      </x:c>
      <x:c r="D181" s="6"/>
      <x:c r="E181" s="7"/>
      <x:c r="F181" s="6"/>
      <x:c r="G181" s="6"/>
      <x:c r="H181" s="6"/>
      <x:c r="I181" s="7"/>
      <x:c r="J181" s="6"/>
      <x:c r="K181" s="6"/>
      <x:c r="L181" s="7"/>
      <x:c r="M181" s="7"/>
      <x:c r="N181" s="7"/>
      <x:c r="O181" s="7"/>
      <x:c r="P181" s="7"/>
      <x:c r="Q181" s="6"/>
      <x:c r="R181" s="7"/>
      <x:c r="S181" s="6"/>
      <x:c r="T181" s="6"/>
      <x:c r="U181" s="6"/>
      <x:c r="V181" s="7"/>
      <x:c r="W181" s="6"/>
      <x:c r="X181" s="7"/>
      <x:c r="Y181" s="9" t="str">
        <x:f>IF(A181="","",IF(OR(K181="Complete",K181="Declined",K181="Closed without data"),"Collection closed",IF(OR(I181="",J181=""),"Date unverified",IF(I181&lt;'Dashboard'!$B$4,"Overdue",IF(I181&lt;='Dashboard'!$B$4+'Dashboard'!$B$5,"Due soon","Later")))))</x:f>
      </x:c>
      <x:c r="Z181" s="9" t="str">
        <x:f>IF(A181="","",IF(H181="","Unassigned",IF(AND(L181&lt;&gt;"",M181=""),"Awaiting acknowledgement",IF(AND(R181&lt;&gt;"",R181&lt;'Dashboard'!$B$4),"Action date passed",IF(AND(OR(K181="Not started",K181="In progress",K181="Awaiting return",K181="Received partial",K181="Unable to reach"),OR(Q181="",R181="")),"Next action missing","No handoff flag")))))</x:f>
      </x:c>
      <x:c r="AA181" s="9" t="str">
        <x:f>IF(A181="","",IF(COUNTIFS($A$6:$A$205,A181)&gt;1,"Duplicate task ID",IF(COUNTIFS($B$6:$B$205,B181,$D$6:$D$205,D181,$E$6:$E$205,E181,$F$6:$F$205,F181)&gt;1,"Duplicate cycle/instrument",IF(OR(B181="",C181="Check roster",C181="Site missing",D181="",E181="",F181="",G181="",G181="Needs verification",K181="",S181="",U181="",X181=""),"Missing core fields",IF(AND(OR(K181="Complete",K181="Received partial"),O181=""),"Missing completion date",IF(AND(U181="Verified submitted",OR(V181="",W181="",S181&lt;&gt;"Verified")),"Submission evidence gap",IF(AND(S181="Verified",T181=""),"Source evidence gap","Recorded")))))))</x:f>
      </x:c>
      <x:c r="AB181" s="9" t="str">
        <x:f>IF(A181="","",IF(OR(I181="",J181=""),"Undated",IF(AND(I181&gt;='Dashboard'!$B$6,I181&lt;='Dashboard'!$B$7),"In period","Outside period")))</x:f>
      </x:c>
      <x:c r="AC181" s="9" t="str">
        <x:f>IF(A181="","",IF(AND(OR(K181="Complete",K181="Received partial"),O181&lt;&gt;"",O181&lt;='Dashboard'!$B$4),1,0))</x:f>
      </x:c>
      <x:c r="AD181" s="9" t="str">
        <x:f>IF(A181="","",IF(AND(U181="Verified submitted",V181&lt;&gt;"",V181&lt;='Dashboard'!$B$4,W181&lt;&gt;"",S181="Verified",T181&lt;&gt;""),1,0))</x:f>
      </x:c>
      <x:c r="AE181" s="1"/>
      <x:c r="AF181" s="1"/>
      <x:c r="AG181" s="1"/>
      <x:c r="AH181" s="1"/>
    </x:row>
    <x:row r="182" ht="23" customHeight="1">
      <x:c r="A182" s="8"/>
      <x:c r="B182" s="8"/>
      <x:c r="C182" s="9" t="str">
        <x:f>IF(B182="","",IF(COUNTIFS('Roster'!$A$6:$A$205,B182)&lt;&gt;1,"Check roster",IF(INDEX('Roster'!$B$6:$B$205,MATCH(B182,'Roster'!$A$6:$A$205,0))="","Site missing",INDEX('Roster'!$B$6:$B$205,MATCH(B182,'Roster'!$A$6:$A$205,0)))))</x:f>
      </x:c>
      <x:c r="D182" s="6"/>
      <x:c r="E182" s="7"/>
      <x:c r="F182" s="6"/>
      <x:c r="G182" s="6"/>
      <x:c r="H182" s="6"/>
      <x:c r="I182" s="7"/>
      <x:c r="J182" s="6"/>
      <x:c r="K182" s="6"/>
      <x:c r="L182" s="7"/>
      <x:c r="M182" s="7"/>
      <x:c r="N182" s="7"/>
      <x:c r="O182" s="7"/>
      <x:c r="P182" s="7"/>
      <x:c r="Q182" s="6"/>
      <x:c r="R182" s="7"/>
      <x:c r="S182" s="6"/>
      <x:c r="T182" s="6"/>
      <x:c r="U182" s="6"/>
      <x:c r="V182" s="7"/>
      <x:c r="W182" s="6"/>
      <x:c r="X182" s="7"/>
      <x:c r="Y182" s="9" t="str">
        <x:f>IF(A182="","",IF(OR(K182="Complete",K182="Declined",K182="Closed without data"),"Collection closed",IF(OR(I182="",J182=""),"Date unverified",IF(I182&lt;'Dashboard'!$B$4,"Overdue",IF(I182&lt;='Dashboard'!$B$4+'Dashboard'!$B$5,"Due soon","Later")))))</x:f>
      </x:c>
      <x:c r="Z182" s="9" t="str">
        <x:f>IF(A182="","",IF(H182="","Unassigned",IF(AND(L182&lt;&gt;"",M182=""),"Awaiting acknowledgement",IF(AND(R182&lt;&gt;"",R182&lt;'Dashboard'!$B$4),"Action date passed",IF(AND(OR(K182="Not started",K182="In progress",K182="Awaiting return",K182="Received partial",K182="Unable to reach"),OR(Q182="",R182="")),"Next action missing","No handoff flag")))))</x:f>
      </x:c>
      <x:c r="AA182" s="9" t="str">
        <x:f>IF(A182="","",IF(COUNTIFS($A$6:$A$205,A182)&gt;1,"Duplicate task ID",IF(COUNTIFS($B$6:$B$205,B182,$D$6:$D$205,D182,$E$6:$E$205,E182,$F$6:$F$205,F182)&gt;1,"Duplicate cycle/instrument",IF(OR(B182="",C182="Check roster",C182="Site missing",D182="",E182="",F182="",G182="",G182="Needs verification",K182="",S182="",U182="",X182=""),"Missing core fields",IF(AND(OR(K182="Complete",K182="Received partial"),O182=""),"Missing completion date",IF(AND(U182="Verified submitted",OR(V182="",W182="",S182&lt;&gt;"Verified")),"Submission evidence gap",IF(AND(S182="Verified",T182=""),"Source evidence gap","Recorded")))))))</x:f>
      </x:c>
      <x:c r="AB182" s="9" t="str">
        <x:f>IF(A182="","",IF(OR(I182="",J182=""),"Undated",IF(AND(I182&gt;='Dashboard'!$B$6,I182&lt;='Dashboard'!$B$7),"In period","Outside period")))</x:f>
      </x:c>
      <x:c r="AC182" s="9" t="str">
        <x:f>IF(A182="","",IF(AND(OR(K182="Complete",K182="Received partial"),O182&lt;&gt;"",O182&lt;='Dashboard'!$B$4),1,0))</x:f>
      </x:c>
      <x:c r="AD182" s="9" t="str">
        <x:f>IF(A182="","",IF(AND(U182="Verified submitted",V182&lt;&gt;"",V182&lt;='Dashboard'!$B$4,W182&lt;&gt;"",S182="Verified",T182&lt;&gt;""),1,0))</x:f>
      </x:c>
      <x:c r="AE182" s="1"/>
      <x:c r="AF182" s="1"/>
      <x:c r="AG182" s="1"/>
      <x:c r="AH182" s="1"/>
    </x:row>
    <x:row r="183" ht="23" customHeight="1">
      <x:c r="A183" s="8"/>
      <x:c r="B183" s="8"/>
      <x:c r="C183" s="9" t="str">
        <x:f>IF(B183="","",IF(COUNTIFS('Roster'!$A$6:$A$205,B183)&lt;&gt;1,"Check roster",IF(INDEX('Roster'!$B$6:$B$205,MATCH(B183,'Roster'!$A$6:$A$205,0))="","Site missing",INDEX('Roster'!$B$6:$B$205,MATCH(B183,'Roster'!$A$6:$A$205,0)))))</x:f>
      </x:c>
      <x:c r="D183" s="6"/>
      <x:c r="E183" s="7"/>
      <x:c r="F183" s="6"/>
      <x:c r="G183" s="6"/>
      <x:c r="H183" s="6"/>
      <x:c r="I183" s="7"/>
      <x:c r="J183" s="6"/>
      <x:c r="K183" s="6"/>
      <x:c r="L183" s="7"/>
      <x:c r="M183" s="7"/>
      <x:c r="N183" s="7"/>
      <x:c r="O183" s="7"/>
      <x:c r="P183" s="7"/>
      <x:c r="Q183" s="6"/>
      <x:c r="R183" s="7"/>
      <x:c r="S183" s="6"/>
      <x:c r="T183" s="6"/>
      <x:c r="U183" s="6"/>
      <x:c r="V183" s="7"/>
      <x:c r="W183" s="6"/>
      <x:c r="X183" s="7"/>
      <x:c r="Y183" s="9" t="str">
        <x:f>IF(A183="","",IF(OR(K183="Complete",K183="Declined",K183="Closed without data"),"Collection closed",IF(OR(I183="",J183=""),"Date unverified",IF(I183&lt;'Dashboard'!$B$4,"Overdue",IF(I183&lt;='Dashboard'!$B$4+'Dashboard'!$B$5,"Due soon","Later")))))</x:f>
      </x:c>
      <x:c r="Z183" s="9" t="str">
        <x:f>IF(A183="","",IF(H183="","Unassigned",IF(AND(L183&lt;&gt;"",M183=""),"Awaiting acknowledgement",IF(AND(R183&lt;&gt;"",R183&lt;'Dashboard'!$B$4),"Action date passed",IF(AND(OR(K183="Not started",K183="In progress",K183="Awaiting return",K183="Received partial",K183="Unable to reach"),OR(Q183="",R183="")),"Next action missing","No handoff flag")))))</x:f>
      </x:c>
      <x:c r="AA183" s="9" t="str">
        <x:f>IF(A183="","",IF(COUNTIFS($A$6:$A$205,A183)&gt;1,"Duplicate task ID",IF(COUNTIFS($B$6:$B$205,B183,$D$6:$D$205,D183,$E$6:$E$205,E183,$F$6:$F$205,F183)&gt;1,"Duplicate cycle/instrument",IF(OR(B183="",C183="Check roster",C183="Site missing",D183="",E183="",F183="",G183="",G183="Needs verification",K183="",S183="",U183="",X183=""),"Missing core fields",IF(AND(OR(K183="Complete",K183="Received partial"),O183=""),"Missing completion date",IF(AND(U183="Verified submitted",OR(V183="",W183="",S183&lt;&gt;"Verified")),"Submission evidence gap",IF(AND(S183="Verified",T183=""),"Source evidence gap","Recorded")))))))</x:f>
      </x:c>
      <x:c r="AB183" s="9" t="str">
        <x:f>IF(A183="","",IF(OR(I183="",J183=""),"Undated",IF(AND(I183&gt;='Dashboard'!$B$6,I183&lt;='Dashboard'!$B$7),"In period","Outside period")))</x:f>
      </x:c>
      <x:c r="AC183" s="9" t="str">
        <x:f>IF(A183="","",IF(AND(OR(K183="Complete",K183="Received partial"),O183&lt;&gt;"",O183&lt;='Dashboard'!$B$4),1,0))</x:f>
      </x:c>
      <x:c r="AD183" s="9" t="str">
        <x:f>IF(A183="","",IF(AND(U183="Verified submitted",V183&lt;&gt;"",V183&lt;='Dashboard'!$B$4,W183&lt;&gt;"",S183="Verified",T183&lt;&gt;""),1,0))</x:f>
      </x:c>
      <x:c r="AE183" s="1"/>
      <x:c r="AF183" s="1"/>
      <x:c r="AG183" s="1"/>
      <x:c r="AH183" s="1"/>
    </x:row>
    <x:row r="184" ht="23" customHeight="1">
      <x:c r="A184" s="8"/>
      <x:c r="B184" s="8"/>
      <x:c r="C184" s="9" t="str">
        <x:f>IF(B184="","",IF(COUNTIFS('Roster'!$A$6:$A$205,B184)&lt;&gt;1,"Check roster",IF(INDEX('Roster'!$B$6:$B$205,MATCH(B184,'Roster'!$A$6:$A$205,0))="","Site missing",INDEX('Roster'!$B$6:$B$205,MATCH(B184,'Roster'!$A$6:$A$205,0)))))</x:f>
      </x:c>
      <x:c r="D184" s="6"/>
      <x:c r="E184" s="7"/>
      <x:c r="F184" s="6"/>
      <x:c r="G184" s="6"/>
      <x:c r="H184" s="6"/>
      <x:c r="I184" s="7"/>
      <x:c r="J184" s="6"/>
      <x:c r="K184" s="6"/>
      <x:c r="L184" s="7"/>
      <x:c r="M184" s="7"/>
      <x:c r="N184" s="7"/>
      <x:c r="O184" s="7"/>
      <x:c r="P184" s="7"/>
      <x:c r="Q184" s="6"/>
      <x:c r="R184" s="7"/>
      <x:c r="S184" s="6"/>
      <x:c r="T184" s="6"/>
      <x:c r="U184" s="6"/>
      <x:c r="V184" s="7"/>
      <x:c r="W184" s="6"/>
      <x:c r="X184" s="7"/>
      <x:c r="Y184" s="9" t="str">
        <x:f>IF(A184="","",IF(OR(K184="Complete",K184="Declined",K184="Closed without data"),"Collection closed",IF(OR(I184="",J184=""),"Date unverified",IF(I184&lt;'Dashboard'!$B$4,"Overdue",IF(I184&lt;='Dashboard'!$B$4+'Dashboard'!$B$5,"Due soon","Later")))))</x:f>
      </x:c>
      <x:c r="Z184" s="9" t="str">
        <x:f>IF(A184="","",IF(H184="","Unassigned",IF(AND(L184&lt;&gt;"",M184=""),"Awaiting acknowledgement",IF(AND(R184&lt;&gt;"",R184&lt;'Dashboard'!$B$4),"Action date passed",IF(AND(OR(K184="Not started",K184="In progress",K184="Awaiting return",K184="Received partial",K184="Unable to reach"),OR(Q184="",R184="")),"Next action missing","No handoff flag")))))</x:f>
      </x:c>
      <x:c r="AA184" s="9" t="str">
        <x:f>IF(A184="","",IF(COUNTIFS($A$6:$A$205,A184)&gt;1,"Duplicate task ID",IF(COUNTIFS($B$6:$B$205,B184,$D$6:$D$205,D184,$E$6:$E$205,E184,$F$6:$F$205,F184)&gt;1,"Duplicate cycle/instrument",IF(OR(B184="",C184="Check roster",C184="Site missing",D184="",E184="",F184="",G184="",G184="Needs verification",K184="",S184="",U184="",X184=""),"Missing core fields",IF(AND(OR(K184="Complete",K184="Received partial"),O184=""),"Missing completion date",IF(AND(U184="Verified submitted",OR(V184="",W184="",S184&lt;&gt;"Verified")),"Submission evidence gap",IF(AND(S184="Verified",T184=""),"Source evidence gap","Recorded")))))))</x:f>
      </x:c>
      <x:c r="AB184" s="9" t="str">
        <x:f>IF(A184="","",IF(OR(I184="",J184=""),"Undated",IF(AND(I184&gt;='Dashboard'!$B$6,I184&lt;='Dashboard'!$B$7),"In period","Outside period")))</x:f>
      </x:c>
      <x:c r="AC184" s="9" t="str">
        <x:f>IF(A184="","",IF(AND(OR(K184="Complete",K184="Received partial"),O184&lt;&gt;"",O184&lt;='Dashboard'!$B$4),1,0))</x:f>
      </x:c>
      <x:c r="AD184" s="9" t="str">
        <x:f>IF(A184="","",IF(AND(U184="Verified submitted",V184&lt;&gt;"",V184&lt;='Dashboard'!$B$4,W184&lt;&gt;"",S184="Verified",T184&lt;&gt;""),1,0))</x:f>
      </x:c>
      <x:c r="AE184" s="1"/>
      <x:c r="AF184" s="1"/>
      <x:c r="AG184" s="1"/>
      <x:c r="AH184" s="1"/>
    </x:row>
    <x:row r="185" ht="23" customHeight="1">
      <x:c r="A185" s="8"/>
      <x:c r="B185" s="8"/>
      <x:c r="C185" s="9" t="str">
        <x:f>IF(B185="","",IF(COUNTIFS('Roster'!$A$6:$A$205,B185)&lt;&gt;1,"Check roster",IF(INDEX('Roster'!$B$6:$B$205,MATCH(B185,'Roster'!$A$6:$A$205,0))="","Site missing",INDEX('Roster'!$B$6:$B$205,MATCH(B185,'Roster'!$A$6:$A$205,0)))))</x:f>
      </x:c>
      <x:c r="D185" s="6"/>
      <x:c r="E185" s="7"/>
      <x:c r="F185" s="6"/>
      <x:c r="G185" s="6"/>
      <x:c r="H185" s="6"/>
      <x:c r="I185" s="7"/>
      <x:c r="J185" s="6"/>
      <x:c r="K185" s="6"/>
      <x:c r="L185" s="7"/>
      <x:c r="M185" s="7"/>
      <x:c r="N185" s="7"/>
      <x:c r="O185" s="7"/>
      <x:c r="P185" s="7"/>
      <x:c r="Q185" s="6"/>
      <x:c r="R185" s="7"/>
      <x:c r="S185" s="6"/>
      <x:c r="T185" s="6"/>
      <x:c r="U185" s="6"/>
      <x:c r="V185" s="7"/>
      <x:c r="W185" s="6"/>
      <x:c r="X185" s="7"/>
      <x:c r="Y185" s="9" t="str">
        <x:f>IF(A185="","",IF(OR(K185="Complete",K185="Declined",K185="Closed without data"),"Collection closed",IF(OR(I185="",J185=""),"Date unverified",IF(I185&lt;'Dashboard'!$B$4,"Overdue",IF(I185&lt;='Dashboard'!$B$4+'Dashboard'!$B$5,"Due soon","Later")))))</x:f>
      </x:c>
      <x:c r="Z185" s="9" t="str">
        <x:f>IF(A185="","",IF(H185="","Unassigned",IF(AND(L185&lt;&gt;"",M185=""),"Awaiting acknowledgement",IF(AND(R185&lt;&gt;"",R185&lt;'Dashboard'!$B$4),"Action date passed",IF(AND(OR(K185="Not started",K185="In progress",K185="Awaiting return",K185="Received partial",K185="Unable to reach"),OR(Q185="",R185="")),"Next action missing","No handoff flag")))))</x:f>
      </x:c>
      <x:c r="AA185" s="9" t="str">
        <x:f>IF(A185="","",IF(COUNTIFS($A$6:$A$205,A185)&gt;1,"Duplicate task ID",IF(COUNTIFS($B$6:$B$205,B185,$D$6:$D$205,D185,$E$6:$E$205,E185,$F$6:$F$205,F185)&gt;1,"Duplicate cycle/instrument",IF(OR(B185="",C185="Check roster",C185="Site missing",D185="",E185="",F185="",G185="",G185="Needs verification",K185="",S185="",U185="",X185=""),"Missing core fields",IF(AND(OR(K185="Complete",K185="Received partial"),O185=""),"Missing completion date",IF(AND(U185="Verified submitted",OR(V185="",W185="",S185&lt;&gt;"Verified")),"Submission evidence gap",IF(AND(S185="Verified",T185=""),"Source evidence gap","Recorded")))))))</x:f>
      </x:c>
      <x:c r="AB185" s="9" t="str">
        <x:f>IF(A185="","",IF(OR(I185="",J185=""),"Undated",IF(AND(I185&gt;='Dashboard'!$B$6,I185&lt;='Dashboard'!$B$7),"In period","Outside period")))</x:f>
      </x:c>
      <x:c r="AC185" s="9" t="str">
        <x:f>IF(A185="","",IF(AND(OR(K185="Complete",K185="Received partial"),O185&lt;&gt;"",O185&lt;='Dashboard'!$B$4),1,0))</x:f>
      </x:c>
      <x:c r="AD185" s="9" t="str">
        <x:f>IF(A185="","",IF(AND(U185="Verified submitted",V185&lt;&gt;"",V185&lt;='Dashboard'!$B$4,W185&lt;&gt;"",S185="Verified",T185&lt;&gt;""),1,0))</x:f>
      </x:c>
      <x:c r="AE185" s="1"/>
      <x:c r="AF185" s="1"/>
      <x:c r="AG185" s="1"/>
      <x:c r="AH185" s="1"/>
    </x:row>
    <x:row r="186" ht="23" customHeight="1">
      <x:c r="A186" s="8"/>
      <x:c r="B186" s="8"/>
      <x:c r="C186" s="9" t="str">
        <x:f>IF(B186="","",IF(COUNTIFS('Roster'!$A$6:$A$205,B186)&lt;&gt;1,"Check roster",IF(INDEX('Roster'!$B$6:$B$205,MATCH(B186,'Roster'!$A$6:$A$205,0))="","Site missing",INDEX('Roster'!$B$6:$B$205,MATCH(B186,'Roster'!$A$6:$A$205,0)))))</x:f>
      </x:c>
      <x:c r="D186" s="6"/>
      <x:c r="E186" s="7"/>
      <x:c r="F186" s="6"/>
      <x:c r="G186" s="6"/>
      <x:c r="H186" s="6"/>
      <x:c r="I186" s="7"/>
      <x:c r="J186" s="6"/>
      <x:c r="K186" s="6"/>
      <x:c r="L186" s="7"/>
      <x:c r="M186" s="7"/>
      <x:c r="N186" s="7"/>
      <x:c r="O186" s="7"/>
      <x:c r="P186" s="7"/>
      <x:c r="Q186" s="6"/>
      <x:c r="R186" s="7"/>
      <x:c r="S186" s="6"/>
      <x:c r="T186" s="6"/>
      <x:c r="U186" s="6"/>
      <x:c r="V186" s="7"/>
      <x:c r="W186" s="6"/>
      <x:c r="X186" s="7"/>
      <x:c r="Y186" s="9" t="str">
        <x:f>IF(A186="","",IF(OR(K186="Complete",K186="Declined",K186="Closed without data"),"Collection closed",IF(OR(I186="",J186=""),"Date unverified",IF(I186&lt;'Dashboard'!$B$4,"Overdue",IF(I186&lt;='Dashboard'!$B$4+'Dashboard'!$B$5,"Due soon","Later")))))</x:f>
      </x:c>
      <x:c r="Z186" s="9" t="str">
        <x:f>IF(A186="","",IF(H186="","Unassigned",IF(AND(L186&lt;&gt;"",M186=""),"Awaiting acknowledgement",IF(AND(R186&lt;&gt;"",R186&lt;'Dashboard'!$B$4),"Action date passed",IF(AND(OR(K186="Not started",K186="In progress",K186="Awaiting return",K186="Received partial",K186="Unable to reach"),OR(Q186="",R186="")),"Next action missing","No handoff flag")))))</x:f>
      </x:c>
      <x:c r="AA186" s="9" t="str">
        <x:f>IF(A186="","",IF(COUNTIFS($A$6:$A$205,A186)&gt;1,"Duplicate task ID",IF(COUNTIFS($B$6:$B$205,B186,$D$6:$D$205,D186,$E$6:$E$205,E186,$F$6:$F$205,F186)&gt;1,"Duplicate cycle/instrument",IF(OR(B186="",C186="Check roster",C186="Site missing",D186="",E186="",F186="",G186="",G186="Needs verification",K186="",S186="",U186="",X186=""),"Missing core fields",IF(AND(OR(K186="Complete",K186="Received partial"),O186=""),"Missing completion date",IF(AND(U186="Verified submitted",OR(V186="",W186="",S186&lt;&gt;"Verified")),"Submission evidence gap",IF(AND(S186="Verified",T186=""),"Source evidence gap","Recorded")))))))</x:f>
      </x:c>
      <x:c r="AB186" s="9" t="str">
        <x:f>IF(A186="","",IF(OR(I186="",J186=""),"Undated",IF(AND(I186&gt;='Dashboard'!$B$6,I186&lt;='Dashboard'!$B$7),"In period","Outside period")))</x:f>
      </x:c>
      <x:c r="AC186" s="9" t="str">
        <x:f>IF(A186="","",IF(AND(OR(K186="Complete",K186="Received partial"),O186&lt;&gt;"",O186&lt;='Dashboard'!$B$4),1,0))</x:f>
      </x:c>
      <x:c r="AD186" s="9" t="str">
        <x:f>IF(A186="","",IF(AND(U186="Verified submitted",V186&lt;&gt;"",V186&lt;='Dashboard'!$B$4,W186&lt;&gt;"",S186="Verified",T186&lt;&gt;""),1,0))</x:f>
      </x:c>
      <x:c r="AE186" s="1"/>
      <x:c r="AF186" s="1"/>
      <x:c r="AG186" s="1"/>
      <x:c r="AH186" s="1"/>
    </x:row>
    <x:row r="187" ht="23" customHeight="1">
      <x:c r="A187" s="8"/>
      <x:c r="B187" s="8"/>
      <x:c r="C187" s="9" t="str">
        <x:f>IF(B187="","",IF(COUNTIFS('Roster'!$A$6:$A$205,B187)&lt;&gt;1,"Check roster",IF(INDEX('Roster'!$B$6:$B$205,MATCH(B187,'Roster'!$A$6:$A$205,0))="","Site missing",INDEX('Roster'!$B$6:$B$205,MATCH(B187,'Roster'!$A$6:$A$205,0)))))</x:f>
      </x:c>
      <x:c r="D187" s="6"/>
      <x:c r="E187" s="7"/>
      <x:c r="F187" s="6"/>
      <x:c r="G187" s="6"/>
      <x:c r="H187" s="6"/>
      <x:c r="I187" s="7"/>
      <x:c r="J187" s="6"/>
      <x:c r="K187" s="6"/>
      <x:c r="L187" s="7"/>
      <x:c r="M187" s="7"/>
      <x:c r="N187" s="7"/>
      <x:c r="O187" s="7"/>
      <x:c r="P187" s="7"/>
      <x:c r="Q187" s="6"/>
      <x:c r="R187" s="7"/>
      <x:c r="S187" s="6"/>
      <x:c r="T187" s="6"/>
      <x:c r="U187" s="6"/>
      <x:c r="V187" s="7"/>
      <x:c r="W187" s="6"/>
      <x:c r="X187" s="7"/>
      <x:c r="Y187" s="9" t="str">
        <x:f>IF(A187="","",IF(OR(K187="Complete",K187="Declined",K187="Closed without data"),"Collection closed",IF(OR(I187="",J187=""),"Date unverified",IF(I187&lt;'Dashboard'!$B$4,"Overdue",IF(I187&lt;='Dashboard'!$B$4+'Dashboard'!$B$5,"Due soon","Later")))))</x:f>
      </x:c>
      <x:c r="Z187" s="9" t="str">
        <x:f>IF(A187="","",IF(H187="","Unassigned",IF(AND(L187&lt;&gt;"",M187=""),"Awaiting acknowledgement",IF(AND(R187&lt;&gt;"",R187&lt;'Dashboard'!$B$4),"Action date passed",IF(AND(OR(K187="Not started",K187="In progress",K187="Awaiting return",K187="Received partial",K187="Unable to reach"),OR(Q187="",R187="")),"Next action missing","No handoff flag")))))</x:f>
      </x:c>
      <x:c r="AA187" s="9" t="str">
        <x:f>IF(A187="","",IF(COUNTIFS($A$6:$A$205,A187)&gt;1,"Duplicate task ID",IF(COUNTIFS($B$6:$B$205,B187,$D$6:$D$205,D187,$E$6:$E$205,E187,$F$6:$F$205,F187)&gt;1,"Duplicate cycle/instrument",IF(OR(B187="",C187="Check roster",C187="Site missing",D187="",E187="",F187="",G187="",G187="Needs verification",K187="",S187="",U187="",X187=""),"Missing core fields",IF(AND(OR(K187="Complete",K187="Received partial"),O187=""),"Missing completion date",IF(AND(U187="Verified submitted",OR(V187="",W187="",S187&lt;&gt;"Verified")),"Submission evidence gap",IF(AND(S187="Verified",T187=""),"Source evidence gap","Recorded")))))))</x:f>
      </x:c>
      <x:c r="AB187" s="9" t="str">
        <x:f>IF(A187="","",IF(OR(I187="",J187=""),"Undated",IF(AND(I187&gt;='Dashboard'!$B$6,I187&lt;='Dashboard'!$B$7),"In period","Outside period")))</x:f>
      </x:c>
      <x:c r="AC187" s="9" t="str">
        <x:f>IF(A187="","",IF(AND(OR(K187="Complete",K187="Received partial"),O187&lt;&gt;"",O187&lt;='Dashboard'!$B$4),1,0))</x:f>
      </x:c>
      <x:c r="AD187" s="9" t="str">
        <x:f>IF(A187="","",IF(AND(U187="Verified submitted",V187&lt;&gt;"",V187&lt;='Dashboard'!$B$4,W187&lt;&gt;"",S187="Verified",T187&lt;&gt;""),1,0))</x:f>
      </x:c>
      <x:c r="AE187" s="1"/>
      <x:c r="AF187" s="1"/>
      <x:c r="AG187" s="1"/>
      <x:c r="AH187" s="1"/>
    </x:row>
    <x:row r="188" ht="23" customHeight="1">
      <x:c r="A188" s="8"/>
      <x:c r="B188" s="8"/>
      <x:c r="C188" s="9" t="str">
        <x:f>IF(B188="","",IF(COUNTIFS('Roster'!$A$6:$A$205,B188)&lt;&gt;1,"Check roster",IF(INDEX('Roster'!$B$6:$B$205,MATCH(B188,'Roster'!$A$6:$A$205,0))="","Site missing",INDEX('Roster'!$B$6:$B$205,MATCH(B188,'Roster'!$A$6:$A$205,0)))))</x:f>
      </x:c>
      <x:c r="D188" s="6"/>
      <x:c r="E188" s="7"/>
      <x:c r="F188" s="6"/>
      <x:c r="G188" s="6"/>
      <x:c r="H188" s="6"/>
      <x:c r="I188" s="7"/>
      <x:c r="J188" s="6"/>
      <x:c r="K188" s="6"/>
      <x:c r="L188" s="7"/>
      <x:c r="M188" s="7"/>
      <x:c r="N188" s="7"/>
      <x:c r="O188" s="7"/>
      <x:c r="P188" s="7"/>
      <x:c r="Q188" s="6"/>
      <x:c r="R188" s="7"/>
      <x:c r="S188" s="6"/>
      <x:c r="T188" s="6"/>
      <x:c r="U188" s="6"/>
      <x:c r="V188" s="7"/>
      <x:c r="W188" s="6"/>
      <x:c r="X188" s="7"/>
      <x:c r="Y188" s="9" t="str">
        <x:f>IF(A188="","",IF(OR(K188="Complete",K188="Declined",K188="Closed without data"),"Collection closed",IF(OR(I188="",J188=""),"Date unverified",IF(I188&lt;'Dashboard'!$B$4,"Overdue",IF(I188&lt;='Dashboard'!$B$4+'Dashboard'!$B$5,"Due soon","Later")))))</x:f>
      </x:c>
      <x:c r="Z188" s="9" t="str">
        <x:f>IF(A188="","",IF(H188="","Unassigned",IF(AND(L188&lt;&gt;"",M188=""),"Awaiting acknowledgement",IF(AND(R188&lt;&gt;"",R188&lt;'Dashboard'!$B$4),"Action date passed",IF(AND(OR(K188="Not started",K188="In progress",K188="Awaiting return",K188="Received partial",K188="Unable to reach"),OR(Q188="",R188="")),"Next action missing","No handoff flag")))))</x:f>
      </x:c>
      <x:c r="AA188" s="9" t="str">
        <x:f>IF(A188="","",IF(COUNTIFS($A$6:$A$205,A188)&gt;1,"Duplicate task ID",IF(COUNTIFS($B$6:$B$205,B188,$D$6:$D$205,D188,$E$6:$E$205,E188,$F$6:$F$205,F188)&gt;1,"Duplicate cycle/instrument",IF(OR(B188="",C188="Check roster",C188="Site missing",D188="",E188="",F188="",G188="",G188="Needs verification",K188="",S188="",U188="",X188=""),"Missing core fields",IF(AND(OR(K188="Complete",K188="Received partial"),O188=""),"Missing completion date",IF(AND(U188="Verified submitted",OR(V188="",W188="",S188&lt;&gt;"Verified")),"Submission evidence gap",IF(AND(S188="Verified",T188=""),"Source evidence gap","Recorded")))))))</x:f>
      </x:c>
      <x:c r="AB188" s="9" t="str">
        <x:f>IF(A188="","",IF(OR(I188="",J188=""),"Undated",IF(AND(I188&gt;='Dashboard'!$B$6,I188&lt;='Dashboard'!$B$7),"In period","Outside period")))</x:f>
      </x:c>
      <x:c r="AC188" s="9" t="str">
        <x:f>IF(A188="","",IF(AND(OR(K188="Complete",K188="Received partial"),O188&lt;&gt;"",O188&lt;='Dashboard'!$B$4),1,0))</x:f>
      </x:c>
      <x:c r="AD188" s="9" t="str">
        <x:f>IF(A188="","",IF(AND(U188="Verified submitted",V188&lt;&gt;"",V188&lt;='Dashboard'!$B$4,W188&lt;&gt;"",S188="Verified",T188&lt;&gt;""),1,0))</x:f>
      </x:c>
      <x:c r="AE188" s="1"/>
      <x:c r="AF188" s="1"/>
      <x:c r="AG188" s="1"/>
      <x:c r="AH188" s="1"/>
    </x:row>
    <x:row r="189" ht="23" customHeight="1">
      <x:c r="A189" s="8"/>
      <x:c r="B189" s="8"/>
      <x:c r="C189" s="9" t="str">
        <x:f>IF(B189="","",IF(COUNTIFS('Roster'!$A$6:$A$205,B189)&lt;&gt;1,"Check roster",IF(INDEX('Roster'!$B$6:$B$205,MATCH(B189,'Roster'!$A$6:$A$205,0))="","Site missing",INDEX('Roster'!$B$6:$B$205,MATCH(B189,'Roster'!$A$6:$A$205,0)))))</x:f>
      </x:c>
      <x:c r="D189" s="6"/>
      <x:c r="E189" s="7"/>
      <x:c r="F189" s="6"/>
      <x:c r="G189" s="6"/>
      <x:c r="H189" s="6"/>
      <x:c r="I189" s="7"/>
      <x:c r="J189" s="6"/>
      <x:c r="K189" s="6"/>
      <x:c r="L189" s="7"/>
      <x:c r="M189" s="7"/>
      <x:c r="N189" s="7"/>
      <x:c r="O189" s="7"/>
      <x:c r="P189" s="7"/>
      <x:c r="Q189" s="6"/>
      <x:c r="R189" s="7"/>
      <x:c r="S189" s="6"/>
      <x:c r="T189" s="6"/>
      <x:c r="U189" s="6"/>
      <x:c r="V189" s="7"/>
      <x:c r="W189" s="6"/>
      <x:c r="X189" s="7"/>
      <x:c r="Y189" s="9" t="str">
        <x:f>IF(A189="","",IF(OR(K189="Complete",K189="Declined",K189="Closed without data"),"Collection closed",IF(OR(I189="",J189=""),"Date unverified",IF(I189&lt;'Dashboard'!$B$4,"Overdue",IF(I189&lt;='Dashboard'!$B$4+'Dashboard'!$B$5,"Due soon","Later")))))</x:f>
      </x:c>
      <x:c r="Z189" s="9" t="str">
        <x:f>IF(A189="","",IF(H189="","Unassigned",IF(AND(L189&lt;&gt;"",M189=""),"Awaiting acknowledgement",IF(AND(R189&lt;&gt;"",R189&lt;'Dashboard'!$B$4),"Action date passed",IF(AND(OR(K189="Not started",K189="In progress",K189="Awaiting return",K189="Received partial",K189="Unable to reach"),OR(Q189="",R189="")),"Next action missing","No handoff flag")))))</x:f>
      </x:c>
      <x:c r="AA189" s="9" t="str">
        <x:f>IF(A189="","",IF(COUNTIFS($A$6:$A$205,A189)&gt;1,"Duplicate task ID",IF(COUNTIFS($B$6:$B$205,B189,$D$6:$D$205,D189,$E$6:$E$205,E189,$F$6:$F$205,F189)&gt;1,"Duplicate cycle/instrument",IF(OR(B189="",C189="Check roster",C189="Site missing",D189="",E189="",F189="",G189="",G189="Needs verification",K189="",S189="",U189="",X189=""),"Missing core fields",IF(AND(OR(K189="Complete",K189="Received partial"),O189=""),"Missing completion date",IF(AND(U189="Verified submitted",OR(V189="",W189="",S189&lt;&gt;"Verified")),"Submission evidence gap",IF(AND(S189="Verified",T189=""),"Source evidence gap","Recorded")))))))</x:f>
      </x:c>
      <x:c r="AB189" s="9" t="str">
        <x:f>IF(A189="","",IF(OR(I189="",J189=""),"Undated",IF(AND(I189&gt;='Dashboard'!$B$6,I189&lt;='Dashboard'!$B$7),"In period","Outside period")))</x:f>
      </x:c>
      <x:c r="AC189" s="9" t="str">
        <x:f>IF(A189="","",IF(AND(OR(K189="Complete",K189="Received partial"),O189&lt;&gt;"",O189&lt;='Dashboard'!$B$4),1,0))</x:f>
      </x:c>
      <x:c r="AD189" s="9" t="str">
        <x:f>IF(A189="","",IF(AND(U189="Verified submitted",V189&lt;&gt;"",V189&lt;='Dashboard'!$B$4,W189&lt;&gt;"",S189="Verified",T189&lt;&gt;""),1,0))</x:f>
      </x:c>
      <x:c r="AE189" s="1"/>
      <x:c r="AF189" s="1"/>
      <x:c r="AG189" s="1"/>
      <x:c r="AH189" s="1"/>
    </x:row>
    <x:row r="190" ht="23" customHeight="1">
      <x:c r="A190" s="8"/>
      <x:c r="B190" s="8"/>
      <x:c r="C190" s="9" t="str">
        <x:f>IF(B190="","",IF(COUNTIFS('Roster'!$A$6:$A$205,B190)&lt;&gt;1,"Check roster",IF(INDEX('Roster'!$B$6:$B$205,MATCH(B190,'Roster'!$A$6:$A$205,0))="","Site missing",INDEX('Roster'!$B$6:$B$205,MATCH(B190,'Roster'!$A$6:$A$205,0)))))</x:f>
      </x:c>
      <x:c r="D190" s="6"/>
      <x:c r="E190" s="7"/>
      <x:c r="F190" s="6"/>
      <x:c r="G190" s="6"/>
      <x:c r="H190" s="6"/>
      <x:c r="I190" s="7"/>
      <x:c r="J190" s="6"/>
      <x:c r="K190" s="6"/>
      <x:c r="L190" s="7"/>
      <x:c r="M190" s="7"/>
      <x:c r="N190" s="7"/>
      <x:c r="O190" s="7"/>
      <x:c r="P190" s="7"/>
      <x:c r="Q190" s="6"/>
      <x:c r="R190" s="7"/>
      <x:c r="S190" s="6"/>
      <x:c r="T190" s="6"/>
      <x:c r="U190" s="6"/>
      <x:c r="V190" s="7"/>
      <x:c r="W190" s="6"/>
      <x:c r="X190" s="7"/>
      <x:c r="Y190" s="9" t="str">
        <x:f>IF(A190="","",IF(OR(K190="Complete",K190="Declined",K190="Closed without data"),"Collection closed",IF(OR(I190="",J190=""),"Date unverified",IF(I190&lt;'Dashboard'!$B$4,"Overdue",IF(I190&lt;='Dashboard'!$B$4+'Dashboard'!$B$5,"Due soon","Later")))))</x:f>
      </x:c>
      <x:c r="Z190" s="9" t="str">
        <x:f>IF(A190="","",IF(H190="","Unassigned",IF(AND(L190&lt;&gt;"",M190=""),"Awaiting acknowledgement",IF(AND(R190&lt;&gt;"",R190&lt;'Dashboard'!$B$4),"Action date passed",IF(AND(OR(K190="Not started",K190="In progress",K190="Awaiting return",K190="Received partial",K190="Unable to reach"),OR(Q190="",R190="")),"Next action missing","No handoff flag")))))</x:f>
      </x:c>
      <x:c r="AA190" s="9" t="str">
        <x:f>IF(A190="","",IF(COUNTIFS($A$6:$A$205,A190)&gt;1,"Duplicate task ID",IF(COUNTIFS($B$6:$B$205,B190,$D$6:$D$205,D190,$E$6:$E$205,E190,$F$6:$F$205,F190)&gt;1,"Duplicate cycle/instrument",IF(OR(B190="",C190="Check roster",C190="Site missing",D190="",E190="",F190="",G190="",G190="Needs verification",K190="",S190="",U190="",X190=""),"Missing core fields",IF(AND(OR(K190="Complete",K190="Received partial"),O190=""),"Missing completion date",IF(AND(U190="Verified submitted",OR(V190="",W190="",S190&lt;&gt;"Verified")),"Submission evidence gap",IF(AND(S190="Verified",T190=""),"Source evidence gap","Recorded")))))))</x:f>
      </x:c>
      <x:c r="AB190" s="9" t="str">
        <x:f>IF(A190="","",IF(OR(I190="",J190=""),"Undated",IF(AND(I190&gt;='Dashboard'!$B$6,I190&lt;='Dashboard'!$B$7),"In period","Outside period")))</x:f>
      </x:c>
      <x:c r="AC190" s="9" t="str">
        <x:f>IF(A190="","",IF(AND(OR(K190="Complete",K190="Received partial"),O190&lt;&gt;"",O190&lt;='Dashboard'!$B$4),1,0))</x:f>
      </x:c>
      <x:c r="AD190" s="9" t="str">
        <x:f>IF(A190="","",IF(AND(U190="Verified submitted",V190&lt;&gt;"",V190&lt;='Dashboard'!$B$4,W190&lt;&gt;"",S190="Verified",T190&lt;&gt;""),1,0))</x:f>
      </x:c>
      <x:c r="AE190" s="1"/>
      <x:c r="AF190" s="1"/>
      <x:c r="AG190" s="1"/>
      <x:c r="AH190" s="1"/>
    </x:row>
    <x:row r="191" ht="23" customHeight="1">
      <x:c r="A191" s="8"/>
      <x:c r="B191" s="8"/>
      <x:c r="C191" s="9" t="str">
        <x:f>IF(B191="","",IF(COUNTIFS('Roster'!$A$6:$A$205,B191)&lt;&gt;1,"Check roster",IF(INDEX('Roster'!$B$6:$B$205,MATCH(B191,'Roster'!$A$6:$A$205,0))="","Site missing",INDEX('Roster'!$B$6:$B$205,MATCH(B191,'Roster'!$A$6:$A$205,0)))))</x:f>
      </x:c>
      <x:c r="D191" s="6"/>
      <x:c r="E191" s="7"/>
      <x:c r="F191" s="6"/>
      <x:c r="G191" s="6"/>
      <x:c r="H191" s="6"/>
      <x:c r="I191" s="7"/>
      <x:c r="J191" s="6"/>
      <x:c r="K191" s="6"/>
      <x:c r="L191" s="7"/>
      <x:c r="M191" s="7"/>
      <x:c r="N191" s="7"/>
      <x:c r="O191" s="7"/>
      <x:c r="P191" s="7"/>
      <x:c r="Q191" s="6"/>
      <x:c r="R191" s="7"/>
      <x:c r="S191" s="6"/>
      <x:c r="T191" s="6"/>
      <x:c r="U191" s="6"/>
      <x:c r="V191" s="7"/>
      <x:c r="W191" s="6"/>
      <x:c r="X191" s="7"/>
      <x:c r="Y191" s="9" t="str">
        <x:f>IF(A191="","",IF(OR(K191="Complete",K191="Declined",K191="Closed without data"),"Collection closed",IF(OR(I191="",J191=""),"Date unverified",IF(I191&lt;'Dashboard'!$B$4,"Overdue",IF(I191&lt;='Dashboard'!$B$4+'Dashboard'!$B$5,"Due soon","Later")))))</x:f>
      </x:c>
      <x:c r="Z191" s="9" t="str">
        <x:f>IF(A191="","",IF(H191="","Unassigned",IF(AND(L191&lt;&gt;"",M191=""),"Awaiting acknowledgement",IF(AND(R191&lt;&gt;"",R191&lt;'Dashboard'!$B$4),"Action date passed",IF(AND(OR(K191="Not started",K191="In progress",K191="Awaiting return",K191="Received partial",K191="Unable to reach"),OR(Q191="",R191="")),"Next action missing","No handoff flag")))))</x:f>
      </x:c>
      <x:c r="AA191" s="9" t="str">
        <x:f>IF(A191="","",IF(COUNTIFS($A$6:$A$205,A191)&gt;1,"Duplicate task ID",IF(COUNTIFS($B$6:$B$205,B191,$D$6:$D$205,D191,$E$6:$E$205,E191,$F$6:$F$205,F191)&gt;1,"Duplicate cycle/instrument",IF(OR(B191="",C191="Check roster",C191="Site missing",D191="",E191="",F191="",G191="",G191="Needs verification",K191="",S191="",U191="",X191=""),"Missing core fields",IF(AND(OR(K191="Complete",K191="Received partial"),O191=""),"Missing completion date",IF(AND(U191="Verified submitted",OR(V191="",W191="",S191&lt;&gt;"Verified")),"Submission evidence gap",IF(AND(S191="Verified",T191=""),"Source evidence gap","Recorded")))))))</x:f>
      </x:c>
      <x:c r="AB191" s="9" t="str">
        <x:f>IF(A191="","",IF(OR(I191="",J191=""),"Undated",IF(AND(I191&gt;='Dashboard'!$B$6,I191&lt;='Dashboard'!$B$7),"In period","Outside period")))</x:f>
      </x:c>
      <x:c r="AC191" s="9" t="str">
        <x:f>IF(A191="","",IF(AND(OR(K191="Complete",K191="Received partial"),O191&lt;&gt;"",O191&lt;='Dashboard'!$B$4),1,0))</x:f>
      </x:c>
      <x:c r="AD191" s="9" t="str">
        <x:f>IF(A191="","",IF(AND(U191="Verified submitted",V191&lt;&gt;"",V191&lt;='Dashboard'!$B$4,W191&lt;&gt;"",S191="Verified",T191&lt;&gt;""),1,0))</x:f>
      </x:c>
      <x:c r="AE191" s="1"/>
      <x:c r="AF191" s="1"/>
      <x:c r="AG191" s="1"/>
      <x:c r="AH191" s="1"/>
    </x:row>
    <x:row r="192" ht="23" customHeight="1">
      <x:c r="A192" s="8"/>
      <x:c r="B192" s="8"/>
      <x:c r="C192" s="9" t="str">
        <x:f>IF(B192="","",IF(COUNTIFS('Roster'!$A$6:$A$205,B192)&lt;&gt;1,"Check roster",IF(INDEX('Roster'!$B$6:$B$205,MATCH(B192,'Roster'!$A$6:$A$205,0))="","Site missing",INDEX('Roster'!$B$6:$B$205,MATCH(B192,'Roster'!$A$6:$A$205,0)))))</x:f>
      </x:c>
      <x:c r="D192" s="6"/>
      <x:c r="E192" s="7"/>
      <x:c r="F192" s="6"/>
      <x:c r="G192" s="6"/>
      <x:c r="H192" s="6"/>
      <x:c r="I192" s="7"/>
      <x:c r="J192" s="6"/>
      <x:c r="K192" s="6"/>
      <x:c r="L192" s="7"/>
      <x:c r="M192" s="7"/>
      <x:c r="N192" s="7"/>
      <x:c r="O192" s="7"/>
      <x:c r="P192" s="7"/>
      <x:c r="Q192" s="6"/>
      <x:c r="R192" s="7"/>
      <x:c r="S192" s="6"/>
      <x:c r="T192" s="6"/>
      <x:c r="U192" s="6"/>
      <x:c r="V192" s="7"/>
      <x:c r="W192" s="6"/>
      <x:c r="X192" s="7"/>
      <x:c r="Y192" s="9" t="str">
        <x:f>IF(A192="","",IF(OR(K192="Complete",K192="Declined",K192="Closed without data"),"Collection closed",IF(OR(I192="",J192=""),"Date unverified",IF(I192&lt;'Dashboard'!$B$4,"Overdue",IF(I192&lt;='Dashboard'!$B$4+'Dashboard'!$B$5,"Due soon","Later")))))</x:f>
      </x:c>
      <x:c r="Z192" s="9" t="str">
        <x:f>IF(A192="","",IF(H192="","Unassigned",IF(AND(L192&lt;&gt;"",M192=""),"Awaiting acknowledgement",IF(AND(R192&lt;&gt;"",R192&lt;'Dashboard'!$B$4),"Action date passed",IF(AND(OR(K192="Not started",K192="In progress",K192="Awaiting return",K192="Received partial",K192="Unable to reach"),OR(Q192="",R192="")),"Next action missing","No handoff flag")))))</x:f>
      </x:c>
      <x:c r="AA192" s="9" t="str">
        <x:f>IF(A192="","",IF(COUNTIFS($A$6:$A$205,A192)&gt;1,"Duplicate task ID",IF(COUNTIFS($B$6:$B$205,B192,$D$6:$D$205,D192,$E$6:$E$205,E192,$F$6:$F$205,F192)&gt;1,"Duplicate cycle/instrument",IF(OR(B192="",C192="Check roster",C192="Site missing",D192="",E192="",F192="",G192="",G192="Needs verification",K192="",S192="",U192="",X192=""),"Missing core fields",IF(AND(OR(K192="Complete",K192="Received partial"),O192=""),"Missing completion date",IF(AND(U192="Verified submitted",OR(V192="",W192="",S192&lt;&gt;"Verified")),"Submission evidence gap",IF(AND(S192="Verified",T192=""),"Source evidence gap","Recorded")))))))</x:f>
      </x:c>
      <x:c r="AB192" s="9" t="str">
        <x:f>IF(A192="","",IF(OR(I192="",J192=""),"Undated",IF(AND(I192&gt;='Dashboard'!$B$6,I192&lt;='Dashboard'!$B$7),"In period","Outside period")))</x:f>
      </x:c>
      <x:c r="AC192" s="9" t="str">
        <x:f>IF(A192="","",IF(AND(OR(K192="Complete",K192="Received partial"),O192&lt;&gt;"",O192&lt;='Dashboard'!$B$4),1,0))</x:f>
      </x:c>
      <x:c r="AD192" s="9" t="str">
        <x:f>IF(A192="","",IF(AND(U192="Verified submitted",V192&lt;&gt;"",V192&lt;='Dashboard'!$B$4,W192&lt;&gt;"",S192="Verified",T192&lt;&gt;""),1,0))</x:f>
      </x:c>
      <x:c r="AE192" s="1"/>
      <x:c r="AF192" s="1"/>
      <x:c r="AG192" s="1"/>
      <x:c r="AH192" s="1"/>
    </x:row>
    <x:row r="193" ht="23" customHeight="1">
      <x:c r="A193" s="8"/>
      <x:c r="B193" s="8"/>
      <x:c r="C193" s="9" t="str">
        <x:f>IF(B193="","",IF(COUNTIFS('Roster'!$A$6:$A$205,B193)&lt;&gt;1,"Check roster",IF(INDEX('Roster'!$B$6:$B$205,MATCH(B193,'Roster'!$A$6:$A$205,0))="","Site missing",INDEX('Roster'!$B$6:$B$205,MATCH(B193,'Roster'!$A$6:$A$205,0)))))</x:f>
      </x:c>
      <x:c r="D193" s="6"/>
      <x:c r="E193" s="7"/>
      <x:c r="F193" s="6"/>
      <x:c r="G193" s="6"/>
      <x:c r="H193" s="6"/>
      <x:c r="I193" s="7"/>
      <x:c r="J193" s="6"/>
      <x:c r="K193" s="6"/>
      <x:c r="L193" s="7"/>
      <x:c r="M193" s="7"/>
      <x:c r="N193" s="7"/>
      <x:c r="O193" s="7"/>
      <x:c r="P193" s="7"/>
      <x:c r="Q193" s="6"/>
      <x:c r="R193" s="7"/>
      <x:c r="S193" s="6"/>
      <x:c r="T193" s="6"/>
      <x:c r="U193" s="6"/>
      <x:c r="V193" s="7"/>
      <x:c r="W193" s="6"/>
      <x:c r="X193" s="7"/>
      <x:c r="Y193" s="9" t="str">
        <x:f>IF(A193="","",IF(OR(K193="Complete",K193="Declined",K193="Closed without data"),"Collection closed",IF(OR(I193="",J193=""),"Date unverified",IF(I193&lt;'Dashboard'!$B$4,"Overdue",IF(I193&lt;='Dashboard'!$B$4+'Dashboard'!$B$5,"Due soon","Later")))))</x:f>
      </x:c>
      <x:c r="Z193" s="9" t="str">
        <x:f>IF(A193="","",IF(H193="","Unassigned",IF(AND(L193&lt;&gt;"",M193=""),"Awaiting acknowledgement",IF(AND(R193&lt;&gt;"",R193&lt;'Dashboard'!$B$4),"Action date passed",IF(AND(OR(K193="Not started",K193="In progress",K193="Awaiting return",K193="Received partial",K193="Unable to reach"),OR(Q193="",R193="")),"Next action missing","No handoff flag")))))</x:f>
      </x:c>
      <x:c r="AA193" s="9" t="str">
        <x:f>IF(A193="","",IF(COUNTIFS($A$6:$A$205,A193)&gt;1,"Duplicate task ID",IF(COUNTIFS($B$6:$B$205,B193,$D$6:$D$205,D193,$E$6:$E$205,E193,$F$6:$F$205,F193)&gt;1,"Duplicate cycle/instrument",IF(OR(B193="",C193="Check roster",C193="Site missing",D193="",E193="",F193="",G193="",G193="Needs verification",K193="",S193="",U193="",X193=""),"Missing core fields",IF(AND(OR(K193="Complete",K193="Received partial"),O193=""),"Missing completion date",IF(AND(U193="Verified submitted",OR(V193="",W193="",S193&lt;&gt;"Verified")),"Submission evidence gap",IF(AND(S193="Verified",T193=""),"Source evidence gap","Recorded")))))))</x:f>
      </x:c>
      <x:c r="AB193" s="9" t="str">
        <x:f>IF(A193="","",IF(OR(I193="",J193=""),"Undated",IF(AND(I193&gt;='Dashboard'!$B$6,I193&lt;='Dashboard'!$B$7),"In period","Outside period")))</x:f>
      </x:c>
      <x:c r="AC193" s="9" t="str">
        <x:f>IF(A193="","",IF(AND(OR(K193="Complete",K193="Received partial"),O193&lt;&gt;"",O193&lt;='Dashboard'!$B$4),1,0))</x:f>
      </x:c>
      <x:c r="AD193" s="9" t="str">
        <x:f>IF(A193="","",IF(AND(U193="Verified submitted",V193&lt;&gt;"",V193&lt;='Dashboard'!$B$4,W193&lt;&gt;"",S193="Verified",T193&lt;&gt;""),1,0))</x:f>
      </x:c>
      <x:c r="AE193" s="1"/>
      <x:c r="AF193" s="1"/>
      <x:c r="AG193" s="1"/>
      <x:c r="AH193" s="1"/>
    </x:row>
    <x:row r="194" ht="23" customHeight="1">
      <x:c r="A194" s="8"/>
      <x:c r="B194" s="8"/>
      <x:c r="C194" s="9" t="str">
        <x:f>IF(B194="","",IF(COUNTIFS('Roster'!$A$6:$A$205,B194)&lt;&gt;1,"Check roster",IF(INDEX('Roster'!$B$6:$B$205,MATCH(B194,'Roster'!$A$6:$A$205,0))="","Site missing",INDEX('Roster'!$B$6:$B$205,MATCH(B194,'Roster'!$A$6:$A$205,0)))))</x:f>
      </x:c>
      <x:c r="D194" s="6"/>
      <x:c r="E194" s="7"/>
      <x:c r="F194" s="6"/>
      <x:c r="G194" s="6"/>
      <x:c r="H194" s="6"/>
      <x:c r="I194" s="7"/>
      <x:c r="J194" s="6"/>
      <x:c r="K194" s="6"/>
      <x:c r="L194" s="7"/>
      <x:c r="M194" s="7"/>
      <x:c r="N194" s="7"/>
      <x:c r="O194" s="7"/>
      <x:c r="P194" s="7"/>
      <x:c r="Q194" s="6"/>
      <x:c r="R194" s="7"/>
      <x:c r="S194" s="6"/>
      <x:c r="T194" s="6"/>
      <x:c r="U194" s="6"/>
      <x:c r="V194" s="7"/>
      <x:c r="W194" s="6"/>
      <x:c r="X194" s="7"/>
      <x:c r="Y194" s="9" t="str">
        <x:f>IF(A194="","",IF(OR(K194="Complete",K194="Declined",K194="Closed without data"),"Collection closed",IF(OR(I194="",J194=""),"Date unverified",IF(I194&lt;'Dashboard'!$B$4,"Overdue",IF(I194&lt;='Dashboard'!$B$4+'Dashboard'!$B$5,"Due soon","Later")))))</x:f>
      </x:c>
      <x:c r="Z194" s="9" t="str">
        <x:f>IF(A194="","",IF(H194="","Unassigned",IF(AND(L194&lt;&gt;"",M194=""),"Awaiting acknowledgement",IF(AND(R194&lt;&gt;"",R194&lt;'Dashboard'!$B$4),"Action date passed",IF(AND(OR(K194="Not started",K194="In progress",K194="Awaiting return",K194="Received partial",K194="Unable to reach"),OR(Q194="",R194="")),"Next action missing","No handoff flag")))))</x:f>
      </x:c>
      <x:c r="AA194" s="9" t="str">
        <x:f>IF(A194="","",IF(COUNTIFS($A$6:$A$205,A194)&gt;1,"Duplicate task ID",IF(COUNTIFS($B$6:$B$205,B194,$D$6:$D$205,D194,$E$6:$E$205,E194,$F$6:$F$205,F194)&gt;1,"Duplicate cycle/instrument",IF(OR(B194="",C194="Check roster",C194="Site missing",D194="",E194="",F194="",G194="",G194="Needs verification",K194="",S194="",U194="",X194=""),"Missing core fields",IF(AND(OR(K194="Complete",K194="Received partial"),O194=""),"Missing completion date",IF(AND(U194="Verified submitted",OR(V194="",W194="",S194&lt;&gt;"Verified")),"Submission evidence gap",IF(AND(S194="Verified",T194=""),"Source evidence gap","Recorded")))))))</x:f>
      </x:c>
      <x:c r="AB194" s="9" t="str">
        <x:f>IF(A194="","",IF(OR(I194="",J194=""),"Undated",IF(AND(I194&gt;='Dashboard'!$B$6,I194&lt;='Dashboard'!$B$7),"In period","Outside period")))</x:f>
      </x:c>
      <x:c r="AC194" s="9" t="str">
        <x:f>IF(A194="","",IF(AND(OR(K194="Complete",K194="Received partial"),O194&lt;&gt;"",O194&lt;='Dashboard'!$B$4),1,0))</x:f>
      </x:c>
      <x:c r="AD194" s="9" t="str">
        <x:f>IF(A194="","",IF(AND(U194="Verified submitted",V194&lt;&gt;"",V194&lt;='Dashboard'!$B$4,W194&lt;&gt;"",S194="Verified",T194&lt;&gt;""),1,0))</x:f>
      </x:c>
      <x:c r="AE194" s="1"/>
      <x:c r="AF194" s="1"/>
      <x:c r="AG194" s="1"/>
      <x:c r="AH194" s="1"/>
    </x:row>
    <x:row r="195" ht="23" customHeight="1">
      <x:c r="A195" s="8"/>
      <x:c r="B195" s="8"/>
      <x:c r="C195" s="9" t="str">
        <x:f>IF(B195="","",IF(COUNTIFS('Roster'!$A$6:$A$205,B195)&lt;&gt;1,"Check roster",IF(INDEX('Roster'!$B$6:$B$205,MATCH(B195,'Roster'!$A$6:$A$205,0))="","Site missing",INDEX('Roster'!$B$6:$B$205,MATCH(B195,'Roster'!$A$6:$A$205,0)))))</x:f>
      </x:c>
      <x:c r="D195" s="6"/>
      <x:c r="E195" s="7"/>
      <x:c r="F195" s="6"/>
      <x:c r="G195" s="6"/>
      <x:c r="H195" s="6"/>
      <x:c r="I195" s="7"/>
      <x:c r="J195" s="6"/>
      <x:c r="K195" s="6"/>
      <x:c r="L195" s="7"/>
      <x:c r="M195" s="7"/>
      <x:c r="N195" s="7"/>
      <x:c r="O195" s="7"/>
      <x:c r="P195" s="7"/>
      <x:c r="Q195" s="6"/>
      <x:c r="R195" s="7"/>
      <x:c r="S195" s="6"/>
      <x:c r="T195" s="6"/>
      <x:c r="U195" s="6"/>
      <x:c r="V195" s="7"/>
      <x:c r="W195" s="6"/>
      <x:c r="X195" s="7"/>
      <x:c r="Y195" s="9" t="str">
        <x:f>IF(A195="","",IF(OR(K195="Complete",K195="Declined",K195="Closed without data"),"Collection closed",IF(OR(I195="",J195=""),"Date unverified",IF(I195&lt;'Dashboard'!$B$4,"Overdue",IF(I195&lt;='Dashboard'!$B$4+'Dashboard'!$B$5,"Due soon","Later")))))</x:f>
      </x:c>
      <x:c r="Z195" s="9" t="str">
        <x:f>IF(A195="","",IF(H195="","Unassigned",IF(AND(L195&lt;&gt;"",M195=""),"Awaiting acknowledgement",IF(AND(R195&lt;&gt;"",R195&lt;'Dashboard'!$B$4),"Action date passed",IF(AND(OR(K195="Not started",K195="In progress",K195="Awaiting return",K195="Received partial",K195="Unable to reach"),OR(Q195="",R195="")),"Next action missing","No handoff flag")))))</x:f>
      </x:c>
      <x:c r="AA195" s="9" t="str">
        <x:f>IF(A195="","",IF(COUNTIFS($A$6:$A$205,A195)&gt;1,"Duplicate task ID",IF(COUNTIFS($B$6:$B$205,B195,$D$6:$D$205,D195,$E$6:$E$205,E195,$F$6:$F$205,F195)&gt;1,"Duplicate cycle/instrument",IF(OR(B195="",C195="Check roster",C195="Site missing",D195="",E195="",F195="",G195="",G195="Needs verification",K195="",S195="",U195="",X195=""),"Missing core fields",IF(AND(OR(K195="Complete",K195="Received partial"),O195=""),"Missing completion date",IF(AND(U195="Verified submitted",OR(V195="",W195="",S195&lt;&gt;"Verified")),"Submission evidence gap",IF(AND(S195="Verified",T195=""),"Source evidence gap","Recorded")))))))</x:f>
      </x:c>
      <x:c r="AB195" s="9" t="str">
        <x:f>IF(A195="","",IF(OR(I195="",J195=""),"Undated",IF(AND(I195&gt;='Dashboard'!$B$6,I195&lt;='Dashboard'!$B$7),"In period","Outside period")))</x:f>
      </x:c>
      <x:c r="AC195" s="9" t="str">
        <x:f>IF(A195="","",IF(AND(OR(K195="Complete",K195="Received partial"),O195&lt;&gt;"",O195&lt;='Dashboard'!$B$4),1,0))</x:f>
      </x:c>
      <x:c r="AD195" s="9" t="str">
        <x:f>IF(A195="","",IF(AND(U195="Verified submitted",V195&lt;&gt;"",V195&lt;='Dashboard'!$B$4,W195&lt;&gt;"",S195="Verified",T195&lt;&gt;""),1,0))</x:f>
      </x:c>
      <x:c r="AE195" s="1"/>
      <x:c r="AF195" s="1"/>
      <x:c r="AG195" s="1"/>
      <x:c r="AH195" s="1"/>
    </x:row>
    <x:row r="196" ht="23" customHeight="1">
      <x:c r="A196" s="8"/>
      <x:c r="B196" s="8"/>
      <x:c r="C196" s="9" t="str">
        <x:f>IF(B196="","",IF(COUNTIFS('Roster'!$A$6:$A$205,B196)&lt;&gt;1,"Check roster",IF(INDEX('Roster'!$B$6:$B$205,MATCH(B196,'Roster'!$A$6:$A$205,0))="","Site missing",INDEX('Roster'!$B$6:$B$205,MATCH(B196,'Roster'!$A$6:$A$205,0)))))</x:f>
      </x:c>
      <x:c r="D196" s="6"/>
      <x:c r="E196" s="7"/>
      <x:c r="F196" s="6"/>
      <x:c r="G196" s="6"/>
      <x:c r="H196" s="6"/>
      <x:c r="I196" s="7"/>
      <x:c r="J196" s="6"/>
      <x:c r="K196" s="6"/>
      <x:c r="L196" s="7"/>
      <x:c r="M196" s="7"/>
      <x:c r="N196" s="7"/>
      <x:c r="O196" s="7"/>
      <x:c r="P196" s="7"/>
      <x:c r="Q196" s="6"/>
      <x:c r="R196" s="7"/>
      <x:c r="S196" s="6"/>
      <x:c r="T196" s="6"/>
      <x:c r="U196" s="6"/>
      <x:c r="V196" s="7"/>
      <x:c r="W196" s="6"/>
      <x:c r="X196" s="7"/>
      <x:c r="Y196" s="9" t="str">
        <x:f>IF(A196="","",IF(OR(K196="Complete",K196="Declined",K196="Closed without data"),"Collection closed",IF(OR(I196="",J196=""),"Date unverified",IF(I196&lt;'Dashboard'!$B$4,"Overdue",IF(I196&lt;='Dashboard'!$B$4+'Dashboard'!$B$5,"Due soon","Later")))))</x:f>
      </x:c>
      <x:c r="Z196" s="9" t="str">
        <x:f>IF(A196="","",IF(H196="","Unassigned",IF(AND(L196&lt;&gt;"",M196=""),"Awaiting acknowledgement",IF(AND(R196&lt;&gt;"",R196&lt;'Dashboard'!$B$4),"Action date passed",IF(AND(OR(K196="Not started",K196="In progress",K196="Awaiting return",K196="Received partial",K196="Unable to reach"),OR(Q196="",R196="")),"Next action missing","No handoff flag")))))</x:f>
      </x:c>
      <x:c r="AA196" s="9" t="str">
        <x:f>IF(A196="","",IF(COUNTIFS($A$6:$A$205,A196)&gt;1,"Duplicate task ID",IF(COUNTIFS($B$6:$B$205,B196,$D$6:$D$205,D196,$E$6:$E$205,E196,$F$6:$F$205,F196)&gt;1,"Duplicate cycle/instrument",IF(OR(B196="",C196="Check roster",C196="Site missing",D196="",E196="",F196="",G196="",G196="Needs verification",K196="",S196="",U196="",X196=""),"Missing core fields",IF(AND(OR(K196="Complete",K196="Received partial"),O196=""),"Missing completion date",IF(AND(U196="Verified submitted",OR(V196="",W196="",S196&lt;&gt;"Verified")),"Submission evidence gap",IF(AND(S196="Verified",T196=""),"Source evidence gap","Recorded")))))))</x:f>
      </x:c>
      <x:c r="AB196" s="9" t="str">
        <x:f>IF(A196="","",IF(OR(I196="",J196=""),"Undated",IF(AND(I196&gt;='Dashboard'!$B$6,I196&lt;='Dashboard'!$B$7),"In period","Outside period")))</x:f>
      </x:c>
      <x:c r="AC196" s="9" t="str">
        <x:f>IF(A196="","",IF(AND(OR(K196="Complete",K196="Received partial"),O196&lt;&gt;"",O196&lt;='Dashboard'!$B$4),1,0))</x:f>
      </x:c>
      <x:c r="AD196" s="9" t="str">
        <x:f>IF(A196="","",IF(AND(U196="Verified submitted",V196&lt;&gt;"",V196&lt;='Dashboard'!$B$4,W196&lt;&gt;"",S196="Verified",T196&lt;&gt;""),1,0))</x:f>
      </x:c>
      <x:c r="AE196" s="1"/>
      <x:c r="AF196" s="1"/>
      <x:c r="AG196" s="1"/>
      <x:c r="AH196" s="1"/>
    </x:row>
    <x:row r="197" ht="23" customHeight="1">
      <x:c r="A197" s="8"/>
      <x:c r="B197" s="8"/>
      <x:c r="C197" s="9" t="str">
        <x:f>IF(B197="","",IF(COUNTIFS('Roster'!$A$6:$A$205,B197)&lt;&gt;1,"Check roster",IF(INDEX('Roster'!$B$6:$B$205,MATCH(B197,'Roster'!$A$6:$A$205,0))="","Site missing",INDEX('Roster'!$B$6:$B$205,MATCH(B197,'Roster'!$A$6:$A$205,0)))))</x:f>
      </x:c>
      <x:c r="D197" s="6"/>
      <x:c r="E197" s="7"/>
      <x:c r="F197" s="6"/>
      <x:c r="G197" s="6"/>
      <x:c r="H197" s="6"/>
      <x:c r="I197" s="7"/>
      <x:c r="J197" s="6"/>
      <x:c r="K197" s="6"/>
      <x:c r="L197" s="7"/>
      <x:c r="M197" s="7"/>
      <x:c r="N197" s="7"/>
      <x:c r="O197" s="7"/>
      <x:c r="P197" s="7"/>
      <x:c r="Q197" s="6"/>
      <x:c r="R197" s="7"/>
      <x:c r="S197" s="6"/>
      <x:c r="T197" s="6"/>
      <x:c r="U197" s="6"/>
      <x:c r="V197" s="7"/>
      <x:c r="W197" s="6"/>
      <x:c r="X197" s="7"/>
      <x:c r="Y197" s="9" t="str">
        <x:f>IF(A197="","",IF(OR(K197="Complete",K197="Declined",K197="Closed without data"),"Collection closed",IF(OR(I197="",J197=""),"Date unverified",IF(I197&lt;'Dashboard'!$B$4,"Overdue",IF(I197&lt;='Dashboard'!$B$4+'Dashboard'!$B$5,"Due soon","Later")))))</x:f>
      </x:c>
      <x:c r="Z197" s="9" t="str">
        <x:f>IF(A197="","",IF(H197="","Unassigned",IF(AND(L197&lt;&gt;"",M197=""),"Awaiting acknowledgement",IF(AND(R197&lt;&gt;"",R197&lt;'Dashboard'!$B$4),"Action date passed",IF(AND(OR(K197="Not started",K197="In progress",K197="Awaiting return",K197="Received partial",K197="Unable to reach"),OR(Q197="",R197="")),"Next action missing","No handoff flag")))))</x:f>
      </x:c>
      <x:c r="AA197" s="9" t="str">
        <x:f>IF(A197="","",IF(COUNTIFS($A$6:$A$205,A197)&gt;1,"Duplicate task ID",IF(COUNTIFS($B$6:$B$205,B197,$D$6:$D$205,D197,$E$6:$E$205,E197,$F$6:$F$205,F197)&gt;1,"Duplicate cycle/instrument",IF(OR(B197="",C197="Check roster",C197="Site missing",D197="",E197="",F197="",G197="",G197="Needs verification",K197="",S197="",U197="",X197=""),"Missing core fields",IF(AND(OR(K197="Complete",K197="Received partial"),O197=""),"Missing completion date",IF(AND(U197="Verified submitted",OR(V197="",W197="",S197&lt;&gt;"Verified")),"Submission evidence gap",IF(AND(S197="Verified",T197=""),"Source evidence gap","Recorded")))))))</x:f>
      </x:c>
      <x:c r="AB197" s="9" t="str">
        <x:f>IF(A197="","",IF(OR(I197="",J197=""),"Undated",IF(AND(I197&gt;='Dashboard'!$B$6,I197&lt;='Dashboard'!$B$7),"In period","Outside period")))</x:f>
      </x:c>
      <x:c r="AC197" s="9" t="str">
        <x:f>IF(A197="","",IF(AND(OR(K197="Complete",K197="Received partial"),O197&lt;&gt;"",O197&lt;='Dashboard'!$B$4),1,0))</x:f>
      </x:c>
      <x:c r="AD197" s="9" t="str">
        <x:f>IF(A197="","",IF(AND(U197="Verified submitted",V197&lt;&gt;"",V197&lt;='Dashboard'!$B$4,W197&lt;&gt;"",S197="Verified",T197&lt;&gt;""),1,0))</x:f>
      </x:c>
      <x:c r="AE197" s="1"/>
      <x:c r="AF197" s="1"/>
      <x:c r="AG197" s="1"/>
      <x:c r="AH197" s="1"/>
    </x:row>
    <x:row r="198" ht="23" customHeight="1">
      <x:c r="A198" s="8"/>
      <x:c r="B198" s="8"/>
      <x:c r="C198" s="9" t="str">
        <x:f>IF(B198="","",IF(COUNTIFS('Roster'!$A$6:$A$205,B198)&lt;&gt;1,"Check roster",IF(INDEX('Roster'!$B$6:$B$205,MATCH(B198,'Roster'!$A$6:$A$205,0))="","Site missing",INDEX('Roster'!$B$6:$B$205,MATCH(B198,'Roster'!$A$6:$A$205,0)))))</x:f>
      </x:c>
      <x:c r="D198" s="6"/>
      <x:c r="E198" s="7"/>
      <x:c r="F198" s="6"/>
      <x:c r="G198" s="6"/>
      <x:c r="H198" s="6"/>
      <x:c r="I198" s="7"/>
      <x:c r="J198" s="6"/>
      <x:c r="K198" s="6"/>
      <x:c r="L198" s="7"/>
      <x:c r="M198" s="7"/>
      <x:c r="N198" s="7"/>
      <x:c r="O198" s="7"/>
      <x:c r="P198" s="7"/>
      <x:c r="Q198" s="6"/>
      <x:c r="R198" s="7"/>
      <x:c r="S198" s="6"/>
      <x:c r="T198" s="6"/>
      <x:c r="U198" s="6"/>
      <x:c r="V198" s="7"/>
      <x:c r="W198" s="6"/>
      <x:c r="X198" s="7"/>
      <x:c r="Y198" s="9" t="str">
        <x:f>IF(A198="","",IF(OR(K198="Complete",K198="Declined",K198="Closed without data"),"Collection closed",IF(OR(I198="",J198=""),"Date unverified",IF(I198&lt;'Dashboard'!$B$4,"Overdue",IF(I198&lt;='Dashboard'!$B$4+'Dashboard'!$B$5,"Due soon","Later")))))</x:f>
      </x:c>
      <x:c r="Z198" s="9" t="str">
        <x:f>IF(A198="","",IF(H198="","Unassigned",IF(AND(L198&lt;&gt;"",M198=""),"Awaiting acknowledgement",IF(AND(R198&lt;&gt;"",R198&lt;'Dashboard'!$B$4),"Action date passed",IF(AND(OR(K198="Not started",K198="In progress",K198="Awaiting return",K198="Received partial",K198="Unable to reach"),OR(Q198="",R198="")),"Next action missing","No handoff flag")))))</x:f>
      </x:c>
      <x:c r="AA198" s="9" t="str">
        <x:f>IF(A198="","",IF(COUNTIFS($A$6:$A$205,A198)&gt;1,"Duplicate task ID",IF(COUNTIFS($B$6:$B$205,B198,$D$6:$D$205,D198,$E$6:$E$205,E198,$F$6:$F$205,F198)&gt;1,"Duplicate cycle/instrument",IF(OR(B198="",C198="Check roster",C198="Site missing",D198="",E198="",F198="",G198="",G198="Needs verification",K198="",S198="",U198="",X198=""),"Missing core fields",IF(AND(OR(K198="Complete",K198="Received partial"),O198=""),"Missing completion date",IF(AND(U198="Verified submitted",OR(V198="",W198="",S198&lt;&gt;"Verified")),"Submission evidence gap",IF(AND(S198="Verified",T198=""),"Source evidence gap","Recorded")))))))</x:f>
      </x:c>
      <x:c r="AB198" s="9" t="str">
        <x:f>IF(A198="","",IF(OR(I198="",J198=""),"Undated",IF(AND(I198&gt;='Dashboard'!$B$6,I198&lt;='Dashboard'!$B$7),"In period","Outside period")))</x:f>
      </x:c>
      <x:c r="AC198" s="9" t="str">
        <x:f>IF(A198="","",IF(AND(OR(K198="Complete",K198="Received partial"),O198&lt;&gt;"",O198&lt;='Dashboard'!$B$4),1,0))</x:f>
      </x:c>
      <x:c r="AD198" s="9" t="str">
        <x:f>IF(A198="","",IF(AND(U198="Verified submitted",V198&lt;&gt;"",V198&lt;='Dashboard'!$B$4,W198&lt;&gt;"",S198="Verified",T198&lt;&gt;""),1,0))</x:f>
      </x:c>
      <x:c r="AE198" s="1"/>
      <x:c r="AF198" s="1"/>
      <x:c r="AG198" s="1"/>
      <x:c r="AH198" s="1"/>
    </x:row>
    <x:row r="199" ht="23" customHeight="1">
      <x:c r="A199" s="8"/>
      <x:c r="B199" s="8"/>
      <x:c r="C199" s="9" t="str">
        <x:f>IF(B199="","",IF(COUNTIFS('Roster'!$A$6:$A$205,B199)&lt;&gt;1,"Check roster",IF(INDEX('Roster'!$B$6:$B$205,MATCH(B199,'Roster'!$A$6:$A$205,0))="","Site missing",INDEX('Roster'!$B$6:$B$205,MATCH(B199,'Roster'!$A$6:$A$205,0)))))</x:f>
      </x:c>
      <x:c r="D199" s="6"/>
      <x:c r="E199" s="7"/>
      <x:c r="F199" s="6"/>
      <x:c r="G199" s="6"/>
      <x:c r="H199" s="6"/>
      <x:c r="I199" s="7"/>
      <x:c r="J199" s="6"/>
      <x:c r="K199" s="6"/>
      <x:c r="L199" s="7"/>
      <x:c r="M199" s="7"/>
      <x:c r="N199" s="7"/>
      <x:c r="O199" s="7"/>
      <x:c r="P199" s="7"/>
      <x:c r="Q199" s="6"/>
      <x:c r="R199" s="7"/>
      <x:c r="S199" s="6"/>
      <x:c r="T199" s="6"/>
      <x:c r="U199" s="6"/>
      <x:c r="V199" s="7"/>
      <x:c r="W199" s="6"/>
      <x:c r="X199" s="7"/>
      <x:c r="Y199" s="9" t="str">
        <x:f>IF(A199="","",IF(OR(K199="Complete",K199="Declined",K199="Closed without data"),"Collection closed",IF(OR(I199="",J199=""),"Date unverified",IF(I199&lt;'Dashboard'!$B$4,"Overdue",IF(I199&lt;='Dashboard'!$B$4+'Dashboard'!$B$5,"Due soon","Later")))))</x:f>
      </x:c>
      <x:c r="Z199" s="9" t="str">
        <x:f>IF(A199="","",IF(H199="","Unassigned",IF(AND(L199&lt;&gt;"",M199=""),"Awaiting acknowledgement",IF(AND(R199&lt;&gt;"",R199&lt;'Dashboard'!$B$4),"Action date passed",IF(AND(OR(K199="Not started",K199="In progress",K199="Awaiting return",K199="Received partial",K199="Unable to reach"),OR(Q199="",R199="")),"Next action missing","No handoff flag")))))</x:f>
      </x:c>
      <x:c r="AA199" s="9" t="str">
        <x:f>IF(A199="","",IF(COUNTIFS($A$6:$A$205,A199)&gt;1,"Duplicate task ID",IF(COUNTIFS($B$6:$B$205,B199,$D$6:$D$205,D199,$E$6:$E$205,E199,$F$6:$F$205,F199)&gt;1,"Duplicate cycle/instrument",IF(OR(B199="",C199="Check roster",C199="Site missing",D199="",E199="",F199="",G199="",G199="Needs verification",K199="",S199="",U199="",X199=""),"Missing core fields",IF(AND(OR(K199="Complete",K199="Received partial"),O199=""),"Missing completion date",IF(AND(U199="Verified submitted",OR(V199="",W199="",S199&lt;&gt;"Verified")),"Submission evidence gap",IF(AND(S199="Verified",T199=""),"Source evidence gap","Recorded")))))))</x:f>
      </x:c>
      <x:c r="AB199" s="9" t="str">
        <x:f>IF(A199="","",IF(OR(I199="",J199=""),"Undated",IF(AND(I199&gt;='Dashboard'!$B$6,I199&lt;='Dashboard'!$B$7),"In period","Outside period")))</x:f>
      </x:c>
      <x:c r="AC199" s="9" t="str">
        <x:f>IF(A199="","",IF(AND(OR(K199="Complete",K199="Received partial"),O199&lt;&gt;"",O199&lt;='Dashboard'!$B$4),1,0))</x:f>
      </x:c>
      <x:c r="AD199" s="9" t="str">
        <x:f>IF(A199="","",IF(AND(U199="Verified submitted",V199&lt;&gt;"",V199&lt;='Dashboard'!$B$4,W199&lt;&gt;"",S199="Verified",T199&lt;&gt;""),1,0))</x:f>
      </x:c>
      <x:c r="AE199" s="1"/>
      <x:c r="AF199" s="1"/>
      <x:c r="AG199" s="1"/>
      <x:c r="AH199" s="1"/>
    </x:row>
    <x:row r="200" ht="23" customHeight="1">
      <x:c r="A200" s="8"/>
      <x:c r="B200" s="8"/>
      <x:c r="C200" s="9" t="str">
        <x:f>IF(B200="","",IF(COUNTIFS('Roster'!$A$6:$A$205,B200)&lt;&gt;1,"Check roster",IF(INDEX('Roster'!$B$6:$B$205,MATCH(B200,'Roster'!$A$6:$A$205,0))="","Site missing",INDEX('Roster'!$B$6:$B$205,MATCH(B200,'Roster'!$A$6:$A$205,0)))))</x:f>
      </x:c>
      <x:c r="D200" s="6"/>
      <x:c r="E200" s="7"/>
      <x:c r="F200" s="6"/>
      <x:c r="G200" s="6"/>
      <x:c r="H200" s="6"/>
      <x:c r="I200" s="7"/>
      <x:c r="J200" s="6"/>
      <x:c r="K200" s="6"/>
      <x:c r="L200" s="7"/>
      <x:c r="M200" s="7"/>
      <x:c r="N200" s="7"/>
      <x:c r="O200" s="7"/>
      <x:c r="P200" s="7"/>
      <x:c r="Q200" s="6"/>
      <x:c r="R200" s="7"/>
      <x:c r="S200" s="6"/>
      <x:c r="T200" s="6"/>
      <x:c r="U200" s="6"/>
      <x:c r="V200" s="7"/>
      <x:c r="W200" s="6"/>
      <x:c r="X200" s="7"/>
      <x:c r="Y200" s="9" t="str">
        <x:f>IF(A200="","",IF(OR(K200="Complete",K200="Declined",K200="Closed without data"),"Collection closed",IF(OR(I200="",J200=""),"Date unverified",IF(I200&lt;'Dashboard'!$B$4,"Overdue",IF(I200&lt;='Dashboard'!$B$4+'Dashboard'!$B$5,"Due soon","Later")))))</x:f>
      </x:c>
      <x:c r="Z200" s="9" t="str">
        <x:f>IF(A200="","",IF(H200="","Unassigned",IF(AND(L200&lt;&gt;"",M200=""),"Awaiting acknowledgement",IF(AND(R200&lt;&gt;"",R200&lt;'Dashboard'!$B$4),"Action date passed",IF(AND(OR(K200="Not started",K200="In progress",K200="Awaiting return",K200="Received partial",K200="Unable to reach"),OR(Q200="",R200="")),"Next action missing","No handoff flag")))))</x:f>
      </x:c>
      <x:c r="AA200" s="9" t="str">
        <x:f>IF(A200="","",IF(COUNTIFS($A$6:$A$205,A200)&gt;1,"Duplicate task ID",IF(COUNTIFS($B$6:$B$205,B200,$D$6:$D$205,D200,$E$6:$E$205,E200,$F$6:$F$205,F200)&gt;1,"Duplicate cycle/instrument",IF(OR(B200="",C200="Check roster",C200="Site missing",D200="",E200="",F200="",G200="",G200="Needs verification",K200="",S200="",U200="",X200=""),"Missing core fields",IF(AND(OR(K200="Complete",K200="Received partial"),O200=""),"Missing completion date",IF(AND(U200="Verified submitted",OR(V200="",W200="",S200&lt;&gt;"Verified")),"Submission evidence gap",IF(AND(S200="Verified",T200=""),"Source evidence gap","Recorded")))))))</x:f>
      </x:c>
      <x:c r="AB200" s="9" t="str">
        <x:f>IF(A200="","",IF(OR(I200="",J200=""),"Undated",IF(AND(I200&gt;='Dashboard'!$B$6,I200&lt;='Dashboard'!$B$7),"In period","Outside period")))</x:f>
      </x:c>
      <x:c r="AC200" s="9" t="str">
        <x:f>IF(A200="","",IF(AND(OR(K200="Complete",K200="Received partial"),O200&lt;&gt;"",O200&lt;='Dashboard'!$B$4),1,0))</x:f>
      </x:c>
      <x:c r="AD200" s="9" t="str">
        <x:f>IF(A200="","",IF(AND(U200="Verified submitted",V200&lt;&gt;"",V200&lt;='Dashboard'!$B$4,W200&lt;&gt;"",S200="Verified",T200&lt;&gt;""),1,0))</x:f>
      </x:c>
      <x:c r="AE200" s="1"/>
      <x:c r="AF200" s="1"/>
      <x:c r="AG200" s="1"/>
      <x:c r="AH200" s="1"/>
    </x:row>
    <x:row r="201" ht="23" customHeight="1">
      <x:c r="A201" s="8"/>
      <x:c r="B201" s="8"/>
      <x:c r="C201" s="9" t="str">
        <x:f>IF(B201="","",IF(COUNTIFS('Roster'!$A$6:$A$205,B201)&lt;&gt;1,"Check roster",IF(INDEX('Roster'!$B$6:$B$205,MATCH(B201,'Roster'!$A$6:$A$205,0))="","Site missing",INDEX('Roster'!$B$6:$B$205,MATCH(B201,'Roster'!$A$6:$A$205,0)))))</x:f>
      </x:c>
      <x:c r="D201" s="6"/>
      <x:c r="E201" s="7"/>
      <x:c r="F201" s="6"/>
      <x:c r="G201" s="6"/>
      <x:c r="H201" s="6"/>
      <x:c r="I201" s="7"/>
      <x:c r="J201" s="6"/>
      <x:c r="K201" s="6"/>
      <x:c r="L201" s="7"/>
      <x:c r="M201" s="7"/>
      <x:c r="N201" s="7"/>
      <x:c r="O201" s="7"/>
      <x:c r="P201" s="7"/>
      <x:c r="Q201" s="6"/>
      <x:c r="R201" s="7"/>
      <x:c r="S201" s="6"/>
      <x:c r="T201" s="6"/>
      <x:c r="U201" s="6"/>
      <x:c r="V201" s="7"/>
      <x:c r="W201" s="6"/>
      <x:c r="X201" s="7"/>
      <x:c r="Y201" s="9" t="str">
        <x:f>IF(A201="","",IF(OR(K201="Complete",K201="Declined",K201="Closed without data"),"Collection closed",IF(OR(I201="",J201=""),"Date unverified",IF(I201&lt;'Dashboard'!$B$4,"Overdue",IF(I201&lt;='Dashboard'!$B$4+'Dashboard'!$B$5,"Due soon","Later")))))</x:f>
      </x:c>
      <x:c r="Z201" s="9" t="str">
        <x:f>IF(A201="","",IF(H201="","Unassigned",IF(AND(L201&lt;&gt;"",M201=""),"Awaiting acknowledgement",IF(AND(R201&lt;&gt;"",R201&lt;'Dashboard'!$B$4),"Action date passed",IF(AND(OR(K201="Not started",K201="In progress",K201="Awaiting return",K201="Received partial",K201="Unable to reach"),OR(Q201="",R201="")),"Next action missing","No handoff flag")))))</x:f>
      </x:c>
      <x:c r="AA201" s="9" t="str">
        <x:f>IF(A201="","",IF(COUNTIFS($A$6:$A$205,A201)&gt;1,"Duplicate task ID",IF(COUNTIFS($B$6:$B$205,B201,$D$6:$D$205,D201,$E$6:$E$205,E201,$F$6:$F$205,F201)&gt;1,"Duplicate cycle/instrument",IF(OR(B201="",C201="Check roster",C201="Site missing",D201="",E201="",F201="",G201="",G201="Needs verification",K201="",S201="",U201="",X201=""),"Missing core fields",IF(AND(OR(K201="Complete",K201="Received partial"),O201=""),"Missing completion date",IF(AND(U201="Verified submitted",OR(V201="",W201="",S201&lt;&gt;"Verified")),"Submission evidence gap",IF(AND(S201="Verified",T201=""),"Source evidence gap","Recorded")))))))</x:f>
      </x:c>
      <x:c r="AB201" s="9" t="str">
        <x:f>IF(A201="","",IF(OR(I201="",J201=""),"Undated",IF(AND(I201&gt;='Dashboard'!$B$6,I201&lt;='Dashboard'!$B$7),"In period","Outside period")))</x:f>
      </x:c>
      <x:c r="AC201" s="9" t="str">
        <x:f>IF(A201="","",IF(AND(OR(K201="Complete",K201="Received partial"),O201&lt;&gt;"",O201&lt;='Dashboard'!$B$4),1,0))</x:f>
      </x:c>
      <x:c r="AD201" s="9" t="str">
        <x:f>IF(A201="","",IF(AND(U201="Verified submitted",V201&lt;&gt;"",V201&lt;='Dashboard'!$B$4,W201&lt;&gt;"",S201="Verified",T201&lt;&gt;""),1,0))</x:f>
      </x:c>
      <x:c r="AE201" s="1"/>
      <x:c r="AF201" s="1"/>
      <x:c r="AG201" s="1"/>
      <x:c r="AH201" s="1"/>
    </x:row>
    <x:row r="202" ht="23" customHeight="1">
      <x:c r="A202" s="8"/>
      <x:c r="B202" s="8"/>
      <x:c r="C202" s="9" t="str">
        <x:f>IF(B202="","",IF(COUNTIFS('Roster'!$A$6:$A$205,B202)&lt;&gt;1,"Check roster",IF(INDEX('Roster'!$B$6:$B$205,MATCH(B202,'Roster'!$A$6:$A$205,0))="","Site missing",INDEX('Roster'!$B$6:$B$205,MATCH(B202,'Roster'!$A$6:$A$205,0)))))</x:f>
      </x:c>
      <x:c r="D202" s="6"/>
      <x:c r="E202" s="7"/>
      <x:c r="F202" s="6"/>
      <x:c r="G202" s="6"/>
      <x:c r="H202" s="6"/>
      <x:c r="I202" s="7"/>
      <x:c r="J202" s="6"/>
      <x:c r="K202" s="6"/>
      <x:c r="L202" s="7"/>
      <x:c r="M202" s="7"/>
      <x:c r="N202" s="7"/>
      <x:c r="O202" s="7"/>
      <x:c r="P202" s="7"/>
      <x:c r="Q202" s="6"/>
      <x:c r="R202" s="7"/>
      <x:c r="S202" s="6"/>
      <x:c r="T202" s="6"/>
      <x:c r="U202" s="6"/>
      <x:c r="V202" s="7"/>
      <x:c r="W202" s="6"/>
      <x:c r="X202" s="7"/>
      <x:c r="Y202" s="9" t="str">
        <x:f>IF(A202="","",IF(OR(K202="Complete",K202="Declined",K202="Closed without data"),"Collection closed",IF(OR(I202="",J202=""),"Date unverified",IF(I202&lt;'Dashboard'!$B$4,"Overdue",IF(I202&lt;='Dashboard'!$B$4+'Dashboard'!$B$5,"Due soon","Later")))))</x:f>
      </x:c>
      <x:c r="Z202" s="9" t="str">
        <x:f>IF(A202="","",IF(H202="","Unassigned",IF(AND(L202&lt;&gt;"",M202=""),"Awaiting acknowledgement",IF(AND(R202&lt;&gt;"",R202&lt;'Dashboard'!$B$4),"Action date passed",IF(AND(OR(K202="Not started",K202="In progress",K202="Awaiting return",K202="Received partial",K202="Unable to reach"),OR(Q202="",R202="")),"Next action missing","No handoff flag")))))</x:f>
      </x:c>
      <x:c r="AA202" s="9" t="str">
        <x:f>IF(A202="","",IF(COUNTIFS($A$6:$A$205,A202)&gt;1,"Duplicate task ID",IF(COUNTIFS($B$6:$B$205,B202,$D$6:$D$205,D202,$E$6:$E$205,E202,$F$6:$F$205,F202)&gt;1,"Duplicate cycle/instrument",IF(OR(B202="",C202="Check roster",C202="Site missing",D202="",E202="",F202="",G202="",G202="Needs verification",K202="",S202="",U202="",X202=""),"Missing core fields",IF(AND(OR(K202="Complete",K202="Received partial"),O202=""),"Missing completion date",IF(AND(U202="Verified submitted",OR(V202="",W202="",S202&lt;&gt;"Verified")),"Submission evidence gap",IF(AND(S202="Verified",T202=""),"Source evidence gap","Recorded")))))))</x:f>
      </x:c>
      <x:c r="AB202" s="9" t="str">
        <x:f>IF(A202="","",IF(OR(I202="",J202=""),"Undated",IF(AND(I202&gt;='Dashboard'!$B$6,I202&lt;='Dashboard'!$B$7),"In period","Outside period")))</x:f>
      </x:c>
      <x:c r="AC202" s="9" t="str">
        <x:f>IF(A202="","",IF(AND(OR(K202="Complete",K202="Received partial"),O202&lt;&gt;"",O202&lt;='Dashboard'!$B$4),1,0))</x:f>
      </x:c>
      <x:c r="AD202" s="9" t="str">
        <x:f>IF(A202="","",IF(AND(U202="Verified submitted",V202&lt;&gt;"",V202&lt;='Dashboard'!$B$4,W202&lt;&gt;"",S202="Verified",T202&lt;&gt;""),1,0))</x:f>
      </x:c>
      <x:c r="AE202" s="1"/>
      <x:c r="AF202" s="1"/>
      <x:c r="AG202" s="1"/>
      <x:c r="AH202" s="1"/>
    </x:row>
    <x:row r="203" ht="23" customHeight="1">
      <x:c r="A203" s="8"/>
      <x:c r="B203" s="8"/>
      <x:c r="C203" s="9" t="str">
        <x:f>IF(B203="","",IF(COUNTIFS('Roster'!$A$6:$A$205,B203)&lt;&gt;1,"Check roster",IF(INDEX('Roster'!$B$6:$B$205,MATCH(B203,'Roster'!$A$6:$A$205,0))="","Site missing",INDEX('Roster'!$B$6:$B$205,MATCH(B203,'Roster'!$A$6:$A$205,0)))))</x:f>
      </x:c>
      <x:c r="D203" s="6"/>
      <x:c r="E203" s="7"/>
      <x:c r="F203" s="6"/>
      <x:c r="G203" s="6"/>
      <x:c r="H203" s="6"/>
      <x:c r="I203" s="7"/>
      <x:c r="J203" s="6"/>
      <x:c r="K203" s="6"/>
      <x:c r="L203" s="7"/>
      <x:c r="M203" s="7"/>
      <x:c r="N203" s="7"/>
      <x:c r="O203" s="7"/>
      <x:c r="P203" s="7"/>
      <x:c r="Q203" s="6"/>
      <x:c r="R203" s="7"/>
      <x:c r="S203" s="6"/>
      <x:c r="T203" s="6"/>
      <x:c r="U203" s="6"/>
      <x:c r="V203" s="7"/>
      <x:c r="W203" s="6"/>
      <x:c r="X203" s="7"/>
      <x:c r="Y203" s="9" t="str">
        <x:f>IF(A203="","",IF(OR(K203="Complete",K203="Declined",K203="Closed without data"),"Collection closed",IF(OR(I203="",J203=""),"Date unverified",IF(I203&lt;'Dashboard'!$B$4,"Overdue",IF(I203&lt;='Dashboard'!$B$4+'Dashboard'!$B$5,"Due soon","Later")))))</x:f>
      </x:c>
      <x:c r="Z203" s="9" t="str">
        <x:f>IF(A203="","",IF(H203="","Unassigned",IF(AND(L203&lt;&gt;"",M203=""),"Awaiting acknowledgement",IF(AND(R203&lt;&gt;"",R203&lt;'Dashboard'!$B$4),"Action date passed",IF(AND(OR(K203="Not started",K203="In progress",K203="Awaiting return",K203="Received partial",K203="Unable to reach"),OR(Q203="",R203="")),"Next action missing","No handoff flag")))))</x:f>
      </x:c>
      <x:c r="AA203" s="9" t="str">
        <x:f>IF(A203="","",IF(COUNTIFS($A$6:$A$205,A203)&gt;1,"Duplicate task ID",IF(COUNTIFS($B$6:$B$205,B203,$D$6:$D$205,D203,$E$6:$E$205,E203,$F$6:$F$205,F203)&gt;1,"Duplicate cycle/instrument",IF(OR(B203="",C203="Check roster",C203="Site missing",D203="",E203="",F203="",G203="",G203="Needs verification",K203="",S203="",U203="",X203=""),"Missing core fields",IF(AND(OR(K203="Complete",K203="Received partial"),O203=""),"Missing completion date",IF(AND(U203="Verified submitted",OR(V203="",W203="",S203&lt;&gt;"Verified")),"Submission evidence gap",IF(AND(S203="Verified",T203=""),"Source evidence gap","Recorded")))))))</x:f>
      </x:c>
      <x:c r="AB203" s="9" t="str">
        <x:f>IF(A203="","",IF(OR(I203="",J203=""),"Undated",IF(AND(I203&gt;='Dashboard'!$B$6,I203&lt;='Dashboard'!$B$7),"In period","Outside period")))</x:f>
      </x:c>
      <x:c r="AC203" s="9" t="str">
        <x:f>IF(A203="","",IF(AND(OR(K203="Complete",K203="Received partial"),O203&lt;&gt;"",O203&lt;='Dashboard'!$B$4),1,0))</x:f>
      </x:c>
      <x:c r="AD203" s="9" t="str">
        <x:f>IF(A203="","",IF(AND(U203="Verified submitted",V203&lt;&gt;"",V203&lt;='Dashboard'!$B$4,W203&lt;&gt;"",S203="Verified",T203&lt;&gt;""),1,0))</x:f>
      </x:c>
      <x:c r="AE203" s="1"/>
      <x:c r="AF203" s="1"/>
      <x:c r="AG203" s="1"/>
      <x:c r="AH203" s="1"/>
    </x:row>
    <x:row r="204" ht="23" customHeight="1">
      <x:c r="A204" s="8"/>
      <x:c r="B204" s="8"/>
      <x:c r="C204" s="9" t="str">
        <x:f>IF(B204="","",IF(COUNTIFS('Roster'!$A$6:$A$205,B204)&lt;&gt;1,"Check roster",IF(INDEX('Roster'!$B$6:$B$205,MATCH(B204,'Roster'!$A$6:$A$205,0))="","Site missing",INDEX('Roster'!$B$6:$B$205,MATCH(B204,'Roster'!$A$6:$A$205,0)))))</x:f>
      </x:c>
      <x:c r="D204" s="6"/>
      <x:c r="E204" s="7"/>
      <x:c r="F204" s="6"/>
      <x:c r="G204" s="6"/>
      <x:c r="H204" s="6"/>
      <x:c r="I204" s="7"/>
      <x:c r="J204" s="6"/>
      <x:c r="K204" s="6"/>
      <x:c r="L204" s="7"/>
      <x:c r="M204" s="7"/>
      <x:c r="N204" s="7"/>
      <x:c r="O204" s="7"/>
      <x:c r="P204" s="7"/>
      <x:c r="Q204" s="6"/>
      <x:c r="R204" s="7"/>
      <x:c r="S204" s="6"/>
      <x:c r="T204" s="6"/>
      <x:c r="U204" s="6"/>
      <x:c r="V204" s="7"/>
      <x:c r="W204" s="6"/>
      <x:c r="X204" s="7"/>
      <x:c r="Y204" s="9" t="str">
        <x:f>IF(A204="","",IF(OR(K204="Complete",K204="Declined",K204="Closed without data"),"Collection closed",IF(OR(I204="",J204=""),"Date unverified",IF(I204&lt;'Dashboard'!$B$4,"Overdue",IF(I204&lt;='Dashboard'!$B$4+'Dashboard'!$B$5,"Due soon","Later")))))</x:f>
      </x:c>
      <x:c r="Z204" s="9" t="str">
        <x:f>IF(A204="","",IF(H204="","Unassigned",IF(AND(L204&lt;&gt;"",M204=""),"Awaiting acknowledgement",IF(AND(R204&lt;&gt;"",R204&lt;'Dashboard'!$B$4),"Action date passed",IF(AND(OR(K204="Not started",K204="In progress",K204="Awaiting return",K204="Received partial",K204="Unable to reach"),OR(Q204="",R204="")),"Next action missing","No handoff flag")))))</x:f>
      </x:c>
      <x:c r="AA204" s="9" t="str">
        <x:f>IF(A204="","",IF(COUNTIFS($A$6:$A$205,A204)&gt;1,"Duplicate task ID",IF(COUNTIFS($B$6:$B$205,B204,$D$6:$D$205,D204,$E$6:$E$205,E204,$F$6:$F$205,F204)&gt;1,"Duplicate cycle/instrument",IF(OR(B204="",C204="Check roster",C204="Site missing",D204="",E204="",F204="",G204="",G204="Needs verification",K204="",S204="",U204="",X204=""),"Missing core fields",IF(AND(OR(K204="Complete",K204="Received partial"),O204=""),"Missing completion date",IF(AND(U204="Verified submitted",OR(V204="",W204="",S204&lt;&gt;"Verified")),"Submission evidence gap",IF(AND(S204="Verified",T204=""),"Source evidence gap","Recorded")))))))</x:f>
      </x:c>
      <x:c r="AB204" s="9" t="str">
        <x:f>IF(A204="","",IF(OR(I204="",J204=""),"Undated",IF(AND(I204&gt;='Dashboard'!$B$6,I204&lt;='Dashboard'!$B$7),"In period","Outside period")))</x:f>
      </x:c>
      <x:c r="AC204" s="9" t="str">
        <x:f>IF(A204="","",IF(AND(OR(K204="Complete",K204="Received partial"),O204&lt;&gt;"",O204&lt;='Dashboard'!$B$4),1,0))</x:f>
      </x:c>
      <x:c r="AD204" s="9" t="str">
        <x:f>IF(A204="","",IF(AND(U204="Verified submitted",V204&lt;&gt;"",V204&lt;='Dashboard'!$B$4,W204&lt;&gt;"",S204="Verified",T204&lt;&gt;""),1,0))</x:f>
      </x:c>
      <x:c r="AE204" s="1"/>
      <x:c r="AF204" s="1"/>
      <x:c r="AG204" s="1"/>
      <x:c r="AH204" s="1"/>
    </x:row>
    <x:row r="205" ht="23" customHeight="1">
      <x:c r="A205" s="8"/>
      <x:c r="B205" s="8"/>
      <x:c r="C205" s="9" t="str">
        <x:f>IF(B205="","",IF(COUNTIFS('Roster'!$A$6:$A$205,B205)&lt;&gt;1,"Check roster",IF(INDEX('Roster'!$B$6:$B$205,MATCH(B205,'Roster'!$A$6:$A$205,0))="","Site missing",INDEX('Roster'!$B$6:$B$205,MATCH(B205,'Roster'!$A$6:$A$205,0)))))</x:f>
      </x:c>
      <x:c r="D205" s="6"/>
      <x:c r="E205" s="7"/>
      <x:c r="F205" s="6"/>
      <x:c r="G205" s="6"/>
      <x:c r="H205" s="6"/>
      <x:c r="I205" s="7"/>
      <x:c r="J205" s="6"/>
      <x:c r="K205" s="6"/>
      <x:c r="L205" s="7"/>
      <x:c r="M205" s="7"/>
      <x:c r="N205" s="7"/>
      <x:c r="O205" s="7"/>
      <x:c r="P205" s="7"/>
      <x:c r="Q205" s="6"/>
      <x:c r="R205" s="7"/>
      <x:c r="S205" s="6"/>
      <x:c r="T205" s="6"/>
      <x:c r="U205" s="6"/>
      <x:c r="V205" s="7"/>
      <x:c r="W205" s="6"/>
      <x:c r="X205" s="7"/>
      <x:c r="Y205" s="9" t="str">
        <x:f>IF(A205="","",IF(OR(K205="Complete",K205="Declined",K205="Closed without data"),"Collection closed",IF(OR(I205="",J205=""),"Date unverified",IF(I205&lt;'Dashboard'!$B$4,"Overdue",IF(I205&lt;='Dashboard'!$B$4+'Dashboard'!$B$5,"Due soon","Later")))))</x:f>
      </x:c>
      <x:c r="Z205" s="9" t="str">
        <x:f>IF(A205="","",IF(H205="","Unassigned",IF(AND(L205&lt;&gt;"",M205=""),"Awaiting acknowledgement",IF(AND(R205&lt;&gt;"",R205&lt;'Dashboard'!$B$4),"Action date passed",IF(AND(OR(K205="Not started",K205="In progress",K205="Awaiting return",K205="Received partial",K205="Unable to reach"),OR(Q205="",R205="")),"Next action missing","No handoff flag")))))</x:f>
      </x:c>
      <x:c r="AA205" s="9" t="str">
        <x:f>IF(A205="","",IF(COUNTIFS($A$6:$A$205,A205)&gt;1,"Duplicate task ID",IF(COUNTIFS($B$6:$B$205,B205,$D$6:$D$205,D205,$E$6:$E$205,E205,$F$6:$F$205,F205)&gt;1,"Duplicate cycle/instrument",IF(OR(B205="",C205="Check roster",C205="Site missing",D205="",E205="",F205="",G205="",G205="Needs verification",K205="",S205="",U205="",X205=""),"Missing core fields",IF(AND(OR(K205="Complete",K205="Received partial"),O205=""),"Missing completion date",IF(AND(U205="Verified submitted",OR(V205="",W205="",S205&lt;&gt;"Verified")),"Submission evidence gap",IF(AND(S205="Verified",T205=""),"Source evidence gap","Recorded")))))))</x:f>
      </x:c>
      <x:c r="AB205" s="9" t="str">
        <x:f>IF(A205="","",IF(OR(I205="",J205=""),"Undated",IF(AND(I205&gt;='Dashboard'!$B$6,I205&lt;='Dashboard'!$B$7),"In period","Outside period")))</x:f>
      </x:c>
      <x:c r="AC205" s="9" t="str">
        <x:f>IF(A205="","",IF(AND(OR(K205="Complete",K205="Received partial"),O205&lt;&gt;"",O205&lt;='Dashboard'!$B$4),1,0))</x:f>
      </x:c>
      <x:c r="AD205" s="9" t="str">
        <x:f>IF(A205="","",IF(AND(U205="Verified submitted",V205&lt;&gt;"",V205&lt;='Dashboard'!$B$4,W205&lt;&gt;"",S205="Verified",T205&lt;&gt;""),1,0))</x:f>
      </x:c>
      <x:c r="AE205" s="1"/>
      <x:c r="AF205" s="1"/>
      <x:c r="AG205" s="1"/>
      <x:c r="AH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</x:sheetData>
  <x:conditionalFormatting sqref="Y6:Y205">
    <x:cfRule type="containsText" dxfId="2" priority="1" operator="containsText" text="Overdue"/>
    <x:cfRule type="containsText" dxfId="3" priority="2" operator="containsText" text="Date unverified"/>
  </x:conditionalFormatting>
  <x:conditionalFormatting sqref="Z6:Z205">
    <x:cfRule type="containsText" dxfId="4" priority="3" operator="containsText" text="Unassigned"/>
    <x:cfRule type="containsText" dxfId="5" priority="4" operator="containsText" text="passed"/>
    <x:cfRule type="containsText" dxfId="6" priority="5" operator="containsText" text="missing"/>
    <x:cfRule type="containsText" dxfId="7" priority="6" operator="containsText" text="Awaiting"/>
  </x:conditionalFormatting>
  <x:conditionalFormatting sqref="AA6:AA205">
    <x:cfRule type="containsText" dxfId="8" priority="7" operator="containsText" text="Duplicate"/>
    <x:cfRule type="containsText" dxfId="9" priority="8" operator="containsText" text="Missing"/>
    <x:cfRule type="containsText" dxfId="10" priority="9" operator="containsText" text="gap"/>
  </x:conditionalFormatting>
  <x:conditionalFormatting sqref="S6:S205">
    <x:cfRule type="containsText" dxfId="11" priority="10" operator="containsText" text="unresolved"/>
    <x:cfRule type="containsText" dxfId="12" priority="11" operator="containsText" text="mismatch"/>
  </x:conditionalFormatting>
  <x:dataValidations count="6">
    <x:dataValidation type="list" sqref="D6:D205">
      <x:formula1>"Baseline,6 months,Annual,Closeout"</x:formula1>
    </x:dataValidation>
    <x:dataValidation type="list" sqref="F6:F205">
      <x:formula1>"Support A,Support C"</x:formula1>
    </x:dataValidation>
    <x:dataValidation type="list" sqref="G6:G205">
      <x:formula1>"Adult,Child/caregiver,Needs verification"</x:formula1>
    </x:dataValidation>
    <x:dataValidation type="list" sqref="K6:K205">
      <x:formula1>"Not started,In progress,Awaiting return,Received partial,Complete,Declined,Unable to reach,Closed without data"</x:formula1>
    </x:dataValidation>
    <x:dataValidation type="list" sqref="S6:S205">
      <x:formula1>"Not checked,Verified,Missing items,Mapping unresolved,Copy mismatch"</x:formula1>
    </x:dataValidation>
    <x:dataValidation type="list" sqref="U6:U205">
      <x:formula1>"Not assessed,Not ready,Ready,Entered unverified,Verified submitted,Correction needed,Not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e1fe1d51449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  <x:col min="7" max="7" width="20" hidden="0" customWidth="1"/>
    <x:col min="8" max="8" width="20" hidden="0" customWidth="1"/>
    <x:col min="9" max="9" width="20" hidden="0" customWidth="1"/>
    <x:col min="10" max="10" width="45" hidden="0" customWidth="1"/>
    <x:col min="11" max="11" width="20" hidden="0" customWidth="1"/>
    <x:col min="12" max="12" width="20" hidden="0" customWidth="1"/>
    <x:col min="13" max="13" width="45" hidden="0" customWidth="1"/>
    <x:col min="14" max="14" width="27" hidden="0" customWidth="1"/>
    <x:col min="15" max="15" width="28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3" customHeight="1">
      <x:c r="A2" s="2" t="str">
        <x:v>Missing information and handoff issues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3" customHeight="1">
      <x:c r="A3" s="1" t="str">
        <x:v>One row per gap or handoff issue. Record evidence separately from the proposed fix. Link a Task ID, Client ID or batch/access reference.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44" customHeight="1">
      <x:c r="A5" s="5" t="str">
        <x:v>Issue ID</x:v>
      </x:c>
      <x:c r="B5" s="5" t="str">
        <x:v>Task / client / batch ID</x:v>
      </x:c>
      <x:c r="C5" s="5" t="str">
        <x:v>Site / scope</x:v>
      </x:c>
      <x:c r="D5" s="5" t="str">
        <x:v>Stage</x:v>
      </x:c>
      <x:c r="E5" s="5" t="str">
        <x:v>Missing item</x:v>
      </x:c>
      <x:c r="F5" s="5" t="str">
        <x:v>Observation / evidence</x:v>
      </x:c>
      <x:c r="G5" s="5" t="str">
        <x:v>Owner</x:v>
      </x:c>
      <x:c r="H5" s="5" t="str">
        <x:v>Opened date</x:v>
      </x:c>
      <x:c r="I5" s="5" t="str">
        <x:v>Status</x:v>
      </x:c>
      <x:c r="J5" s="5" t="str">
        <x:v>Next action</x:v>
      </x:c>
      <x:c r="K5" s="5" t="str">
        <x:v>Action due</x:v>
      </x:c>
      <x:c r="L5" s="5" t="str">
        <x:v>Resolved date</x:v>
      </x:c>
      <x:c r="M5" s="5" t="str">
        <x:v>Resolution evidence</x:v>
      </x:c>
      <x:c r="N5" s="5" t="str">
        <x:v>Issue view</x:v>
      </x:c>
      <x:c r="O5" s="5" t="str">
        <x:v>Missing reason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23" customHeight="1">
      <x:c r="A6" s="6"/>
      <x:c r="B6" s="6"/>
      <x:c r="C6" s="6"/>
      <x:c r="D6" s="6"/>
      <x:c r="E6" s="6"/>
      <x:c r="F6" s="6"/>
      <x:c r="G6" s="6"/>
      <x:c r="H6" s="7"/>
      <x:c r="I6" s="6"/>
      <x:c r="J6" s="6"/>
      <x:c r="K6" s="7"/>
      <x:c r="L6" s="7"/>
      <x:c r="M6" s="6"/>
      <x:c r="N6" s="9" t="str">
        <x:f>IF(A6="","",IF(COUNTIFS($A$6:$A$205,A6)&gt;1,"Duplicate issue ID",IF(I6="Resolved",IF(OR(L6="",M6=""),"Resolution evidence gap","Resolved"),IF(G6="","Unassigned",IF(OR(I6="",H6="",F6="",J6="",K6=""),"Missing action / evidence",IF(K6&lt;'Dashboard'!$B$4,"Action overdue","Open action"))))))</x:f>
      </x:c>
      <x:c r="O6" s="6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23" customHeight="1">
      <x:c r="A7" s="6"/>
      <x:c r="B7" s="6"/>
      <x:c r="C7" s="6"/>
      <x:c r="D7" s="6"/>
      <x:c r="E7" s="6"/>
      <x:c r="F7" s="6"/>
      <x:c r="G7" s="6"/>
      <x:c r="H7" s="7"/>
      <x:c r="I7" s="6"/>
      <x:c r="J7" s="6"/>
      <x:c r="K7" s="7"/>
      <x:c r="L7" s="7"/>
      <x:c r="M7" s="6"/>
      <x:c r="N7" s="9" t="str">
        <x:f>IF(A7="","",IF(COUNTIFS($A$6:$A$205,A7)&gt;1,"Duplicate issue ID",IF(I7="Resolved",IF(OR(L7="",M7=""),"Resolution evidence gap","Resolved"),IF(G7="","Unassigned",IF(OR(I7="",H7="",F7="",J7="",K7=""),"Missing action / evidence",IF(K7&lt;'Dashboard'!$B$4,"Action overdue","Open action"))))))</x:f>
      </x:c>
      <x:c r="O7" s="6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23" customHeight="1">
      <x:c r="A8" s="6"/>
      <x:c r="B8" s="6"/>
      <x:c r="C8" s="6"/>
      <x:c r="D8" s="6"/>
      <x:c r="E8" s="6"/>
      <x:c r="F8" s="6"/>
      <x:c r="G8" s="6"/>
      <x:c r="H8" s="7"/>
      <x:c r="I8" s="6"/>
      <x:c r="J8" s="6"/>
      <x:c r="K8" s="7"/>
      <x:c r="L8" s="7"/>
      <x:c r="M8" s="6"/>
      <x:c r="N8" s="9" t="str">
        <x:f>IF(A8="","",IF(COUNTIFS($A$6:$A$205,A8)&gt;1,"Duplicate issue ID",IF(I8="Resolved",IF(OR(L8="",M8=""),"Resolution evidence gap","Resolved"),IF(G8="","Unassigned",IF(OR(I8="",H8="",F8="",J8="",K8=""),"Missing action / evidence",IF(K8&lt;'Dashboard'!$B$4,"Action overdue","Open action"))))))</x:f>
      </x:c>
      <x:c r="O8" s="6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23" customHeight="1">
      <x:c r="A9" s="6"/>
      <x:c r="B9" s="6"/>
      <x:c r="C9" s="6"/>
      <x:c r="D9" s="6"/>
      <x:c r="E9" s="6"/>
      <x:c r="F9" s="6"/>
      <x:c r="G9" s="6"/>
      <x:c r="H9" s="7"/>
      <x:c r="I9" s="6"/>
      <x:c r="J9" s="6"/>
      <x:c r="K9" s="7"/>
      <x:c r="L9" s="7"/>
      <x:c r="M9" s="6"/>
      <x:c r="N9" s="9" t="str">
        <x:f>IF(A9="","",IF(COUNTIFS($A$6:$A$205,A9)&gt;1,"Duplicate issue ID",IF(I9="Resolved",IF(OR(L9="",M9=""),"Resolution evidence gap","Resolved"),IF(G9="","Unassigned",IF(OR(I9="",H9="",F9="",J9="",K9=""),"Missing action / evidence",IF(K9&lt;'Dashboard'!$B$4,"Action overdue","Open action"))))))</x:f>
      </x:c>
      <x:c r="O9" s="6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23" customHeight="1">
      <x:c r="A10" s="6"/>
      <x:c r="B10" s="6"/>
      <x:c r="C10" s="6"/>
      <x:c r="D10" s="6"/>
      <x:c r="E10" s="6"/>
      <x:c r="F10" s="6"/>
      <x:c r="G10" s="6"/>
      <x:c r="H10" s="7"/>
      <x:c r="I10" s="6"/>
      <x:c r="J10" s="6"/>
      <x:c r="K10" s="7"/>
      <x:c r="L10" s="7"/>
      <x:c r="M10" s="6"/>
      <x:c r="N10" s="9" t="str">
        <x:f>IF(A10="","",IF(COUNTIFS($A$6:$A$205,A10)&gt;1,"Duplicate issue ID",IF(I10="Resolved",IF(OR(L10="",M10=""),"Resolution evidence gap","Resolved"),IF(G10="","Unassigned",IF(OR(I10="",H10="",F10="",J10="",K10=""),"Missing action / evidence",IF(K10&lt;'Dashboard'!$B$4,"Action overdue","Open action"))))))</x:f>
      </x:c>
      <x:c r="O10" s="6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23" customHeight="1">
      <x:c r="A11" s="6"/>
      <x:c r="B11" s="6"/>
      <x:c r="C11" s="6"/>
      <x:c r="D11" s="6"/>
      <x:c r="E11" s="6"/>
      <x:c r="F11" s="6"/>
      <x:c r="G11" s="6"/>
      <x:c r="H11" s="7"/>
      <x:c r="I11" s="6"/>
      <x:c r="J11" s="6"/>
      <x:c r="K11" s="7"/>
      <x:c r="L11" s="7"/>
      <x:c r="M11" s="6"/>
      <x:c r="N11" s="9" t="str">
        <x:f>IF(A11="","",IF(COUNTIFS($A$6:$A$205,A11)&gt;1,"Duplicate issue ID",IF(I11="Resolved",IF(OR(L11="",M11=""),"Resolution evidence gap","Resolved"),IF(G11="","Unassigned",IF(OR(I11="",H11="",F11="",J11="",K11=""),"Missing action / evidence",IF(K11&lt;'Dashboard'!$B$4,"Action overdue","Open action"))))))</x:f>
      </x:c>
      <x:c r="O11" s="6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23" customHeight="1">
      <x:c r="A12" s="6"/>
      <x:c r="B12" s="6"/>
      <x:c r="C12" s="6"/>
      <x:c r="D12" s="6"/>
      <x:c r="E12" s="6"/>
      <x:c r="F12" s="6"/>
      <x:c r="G12" s="6"/>
      <x:c r="H12" s="7"/>
      <x:c r="I12" s="6"/>
      <x:c r="J12" s="6"/>
      <x:c r="K12" s="7"/>
      <x:c r="L12" s="7"/>
      <x:c r="M12" s="6"/>
      <x:c r="N12" s="9" t="str">
        <x:f>IF(A12="","",IF(COUNTIFS($A$6:$A$205,A12)&gt;1,"Duplicate issue ID",IF(I12="Resolved",IF(OR(L12="",M12=""),"Resolution evidence gap","Resolved"),IF(G12="","Unassigned",IF(OR(I12="",H12="",F12="",J12="",K12=""),"Missing action / evidence",IF(K12&lt;'Dashboard'!$B$4,"Action overdue","Open action"))))))</x:f>
      </x:c>
      <x:c r="O12" s="6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23" customHeight="1">
      <x:c r="A13" s="6"/>
      <x:c r="B13" s="6"/>
      <x:c r="C13" s="6"/>
      <x:c r="D13" s="6"/>
      <x:c r="E13" s="6"/>
      <x:c r="F13" s="6"/>
      <x:c r="G13" s="6"/>
      <x:c r="H13" s="7"/>
      <x:c r="I13" s="6"/>
      <x:c r="J13" s="6"/>
      <x:c r="K13" s="7"/>
      <x:c r="L13" s="7"/>
      <x:c r="M13" s="6"/>
      <x:c r="N13" s="9" t="str">
        <x:f>IF(A13="","",IF(COUNTIFS($A$6:$A$205,A13)&gt;1,"Duplicate issue ID",IF(I13="Resolved",IF(OR(L13="",M13=""),"Resolution evidence gap","Resolved"),IF(G13="","Unassigned",IF(OR(I13="",H13="",F13="",J13="",K13=""),"Missing action / evidence",IF(K13&lt;'Dashboard'!$B$4,"Action overdue","Open action"))))))</x:f>
      </x:c>
      <x:c r="O13" s="6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23" customHeight="1">
      <x:c r="A14" s="6"/>
      <x:c r="B14" s="6"/>
      <x:c r="C14" s="6"/>
      <x:c r="D14" s="6"/>
      <x:c r="E14" s="6"/>
      <x:c r="F14" s="6"/>
      <x:c r="G14" s="6"/>
      <x:c r="H14" s="7"/>
      <x:c r="I14" s="6"/>
      <x:c r="J14" s="6"/>
      <x:c r="K14" s="7"/>
      <x:c r="L14" s="7"/>
      <x:c r="M14" s="6"/>
      <x:c r="N14" s="9" t="str">
        <x:f>IF(A14="","",IF(COUNTIFS($A$6:$A$205,A14)&gt;1,"Duplicate issue ID",IF(I14="Resolved",IF(OR(L14="",M14=""),"Resolution evidence gap","Resolved"),IF(G14="","Unassigned",IF(OR(I14="",H14="",F14="",J14="",K14=""),"Missing action / evidence",IF(K14&lt;'Dashboard'!$B$4,"Action overdue","Open action"))))))</x:f>
      </x:c>
      <x:c r="O14" s="6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23" customHeight="1">
      <x:c r="A15" s="6"/>
      <x:c r="B15" s="6"/>
      <x:c r="C15" s="6"/>
      <x:c r="D15" s="6"/>
      <x:c r="E15" s="6"/>
      <x:c r="F15" s="6"/>
      <x:c r="G15" s="6"/>
      <x:c r="H15" s="7"/>
      <x:c r="I15" s="6"/>
      <x:c r="J15" s="6"/>
      <x:c r="K15" s="7"/>
      <x:c r="L15" s="7"/>
      <x:c r="M15" s="6"/>
      <x:c r="N15" s="9" t="str">
        <x:f>IF(A15="","",IF(COUNTIFS($A$6:$A$205,A15)&gt;1,"Duplicate issue ID",IF(I15="Resolved",IF(OR(L15="",M15=""),"Resolution evidence gap","Resolved"),IF(G15="","Unassigned",IF(OR(I15="",H15="",F15="",J15="",K15=""),"Missing action / evidence",IF(K15&lt;'Dashboard'!$B$4,"Action overdue","Open action"))))))</x:f>
      </x:c>
      <x:c r="O15" s="6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23" customHeight="1">
      <x:c r="A16" s="6"/>
      <x:c r="B16" s="6"/>
      <x:c r="C16" s="6"/>
      <x:c r="D16" s="6"/>
      <x:c r="E16" s="6"/>
      <x:c r="F16" s="6"/>
      <x:c r="G16" s="6"/>
      <x:c r="H16" s="7"/>
      <x:c r="I16" s="6"/>
      <x:c r="J16" s="6"/>
      <x:c r="K16" s="7"/>
      <x:c r="L16" s="7"/>
      <x:c r="M16" s="6"/>
      <x:c r="N16" s="9" t="str">
        <x:f>IF(A16="","",IF(COUNTIFS($A$6:$A$205,A16)&gt;1,"Duplicate issue ID",IF(I16="Resolved",IF(OR(L16="",M16=""),"Resolution evidence gap","Resolved"),IF(G16="","Unassigned",IF(OR(I16="",H16="",F16="",J16="",K16=""),"Missing action / evidence",IF(K16&lt;'Dashboard'!$B$4,"Action overdue","Open action"))))))</x:f>
      </x:c>
      <x:c r="O16" s="6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 ht="23" customHeight="1">
      <x:c r="A17" s="6"/>
      <x:c r="B17" s="6"/>
      <x:c r="C17" s="6"/>
      <x:c r="D17" s="6"/>
      <x:c r="E17" s="6"/>
      <x:c r="F17" s="6"/>
      <x:c r="G17" s="6"/>
      <x:c r="H17" s="7"/>
      <x:c r="I17" s="6"/>
      <x:c r="J17" s="6"/>
      <x:c r="K17" s="7"/>
      <x:c r="L17" s="7"/>
      <x:c r="M17" s="6"/>
      <x:c r="N17" s="9" t="str">
        <x:f>IF(A17="","",IF(COUNTIFS($A$6:$A$205,A17)&gt;1,"Duplicate issue ID",IF(I17="Resolved",IF(OR(L17="",M17=""),"Resolution evidence gap","Resolved"),IF(G17="","Unassigned",IF(OR(I17="",H17="",F17="",J17="",K17=""),"Missing action / evidence",IF(K17&lt;'Dashboard'!$B$4,"Action overdue","Open action"))))))</x:f>
      </x:c>
      <x:c r="O17" s="6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 ht="23" customHeight="1">
      <x:c r="A18" s="6"/>
      <x:c r="B18" s="6"/>
      <x:c r="C18" s="6"/>
      <x:c r="D18" s="6"/>
      <x:c r="E18" s="6"/>
      <x:c r="F18" s="6"/>
      <x:c r="G18" s="6"/>
      <x:c r="H18" s="7"/>
      <x:c r="I18" s="6"/>
      <x:c r="J18" s="6"/>
      <x:c r="K18" s="7"/>
      <x:c r="L18" s="7"/>
      <x:c r="M18" s="6"/>
      <x:c r="N18" s="9" t="str">
        <x:f>IF(A18="","",IF(COUNTIFS($A$6:$A$205,A18)&gt;1,"Duplicate issue ID",IF(I18="Resolved",IF(OR(L18="",M18=""),"Resolution evidence gap","Resolved"),IF(G18="","Unassigned",IF(OR(I18="",H18="",F18="",J18="",K18=""),"Missing action / evidence",IF(K18&lt;'Dashboard'!$B$4,"Action overdue","Open action"))))))</x:f>
      </x:c>
      <x:c r="O18" s="6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 ht="23" customHeight="1">
      <x:c r="A19" s="6"/>
      <x:c r="B19" s="6"/>
      <x:c r="C19" s="6"/>
      <x:c r="D19" s="6"/>
      <x:c r="E19" s="6"/>
      <x:c r="F19" s="6"/>
      <x:c r="G19" s="6"/>
      <x:c r="H19" s="7"/>
      <x:c r="I19" s="6"/>
      <x:c r="J19" s="6"/>
      <x:c r="K19" s="7"/>
      <x:c r="L19" s="7"/>
      <x:c r="M19" s="6"/>
      <x:c r="N19" s="9" t="str">
        <x:f>IF(A19="","",IF(COUNTIFS($A$6:$A$205,A19)&gt;1,"Duplicate issue ID",IF(I19="Resolved",IF(OR(L19="",M19=""),"Resolution evidence gap","Resolved"),IF(G19="","Unassigned",IF(OR(I19="",H19="",F19="",J19="",K19=""),"Missing action / evidence",IF(K19&lt;'Dashboard'!$B$4,"Action overdue","Open action"))))))</x:f>
      </x:c>
      <x:c r="O19" s="6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 ht="23" customHeight="1">
      <x:c r="A20" s="6"/>
      <x:c r="B20" s="6"/>
      <x:c r="C20" s="6"/>
      <x:c r="D20" s="6"/>
      <x:c r="E20" s="6"/>
      <x:c r="F20" s="6"/>
      <x:c r="G20" s="6"/>
      <x:c r="H20" s="7"/>
      <x:c r="I20" s="6"/>
      <x:c r="J20" s="6"/>
      <x:c r="K20" s="7"/>
      <x:c r="L20" s="7"/>
      <x:c r="M20" s="6"/>
      <x:c r="N20" s="9" t="str">
        <x:f>IF(A20="","",IF(COUNTIFS($A$6:$A$205,A20)&gt;1,"Duplicate issue ID",IF(I20="Resolved",IF(OR(L20="",M20=""),"Resolution evidence gap","Resolved"),IF(G20="","Unassigned",IF(OR(I20="",H20="",F20="",J20="",K20=""),"Missing action / evidence",IF(K20&lt;'Dashboard'!$B$4,"Action overdue","Open action"))))))</x:f>
      </x:c>
      <x:c r="O20" s="6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 ht="23" customHeight="1">
      <x:c r="A21" s="6"/>
      <x:c r="B21" s="6"/>
      <x:c r="C21" s="6"/>
      <x:c r="D21" s="6"/>
      <x:c r="E21" s="6"/>
      <x:c r="F21" s="6"/>
      <x:c r="G21" s="6"/>
      <x:c r="H21" s="7"/>
      <x:c r="I21" s="6"/>
      <x:c r="J21" s="6"/>
      <x:c r="K21" s="7"/>
      <x:c r="L21" s="7"/>
      <x:c r="M21" s="6"/>
      <x:c r="N21" s="9" t="str">
        <x:f>IF(A21="","",IF(COUNTIFS($A$6:$A$205,A21)&gt;1,"Duplicate issue ID",IF(I21="Resolved",IF(OR(L21="",M21=""),"Resolution evidence gap","Resolved"),IF(G21="","Unassigned",IF(OR(I21="",H21="",F21="",J21="",K21=""),"Missing action / evidence",IF(K21&lt;'Dashboard'!$B$4,"Action overdue","Open action"))))))</x:f>
      </x:c>
      <x:c r="O21" s="6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 ht="23" customHeight="1">
      <x:c r="A22" s="6"/>
      <x:c r="B22" s="6"/>
      <x:c r="C22" s="6"/>
      <x:c r="D22" s="6"/>
      <x:c r="E22" s="6"/>
      <x:c r="F22" s="6"/>
      <x:c r="G22" s="6"/>
      <x:c r="H22" s="7"/>
      <x:c r="I22" s="6"/>
      <x:c r="J22" s="6"/>
      <x:c r="K22" s="7"/>
      <x:c r="L22" s="7"/>
      <x:c r="M22" s="6"/>
      <x:c r="N22" s="9" t="str">
        <x:f>IF(A22="","",IF(COUNTIFS($A$6:$A$205,A22)&gt;1,"Duplicate issue ID",IF(I22="Resolved",IF(OR(L22="",M22=""),"Resolution evidence gap","Resolved"),IF(G22="","Unassigned",IF(OR(I22="",H22="",F22="",J22="",K22=""),"Missing action / evidence",IF(K22&lt;'Dashboard'!$B$4,"Action overdue","Open action"))))))</x:f>
      </x:c>
      <x:c r="O22" s="6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 ht="23" customHeight="1">
      <x:c r="A23" s="6"/>
      <x:c r="B23" s="6"/>
      <x:c r="C23" s="6"/>
      <x:c r="D23" s="6"/>
      <x:c r="E23" s="6"/>
      <x:c r="F23" s="6"/>
      <x:c r="G23" s="6"/>
      <x:c r="H23" s="7"/>
      <x:c r="I23" s="6"/>
      <x:c r="J23" s="6"/>
      <x:c r="K23" s="7"/>
      <x:c r="L23" s="7"/>
      <x:c r="M23" s="6"/>
      <x:c r="N23" s="9" t="str">
        <x:f>IF(A23="","",IF(COUNTIFS($A$6:$A$205,A23)&gt;1,"Duplicate issue ID",IF(I23="Resolved",IF(OR(L23="",M23=""),"Resolution evidence gap","Resolved"),IF(G23="","Unassigned",IF(OR(I23="",H23="",F23="",J23="",K23=""),"Missing action / evidence",IF(K23&lt;'Dashboard'!$B$4,"Action overdue","Open action"))))))</x:f>
      </x:c>
      <x:c r="O23" s="6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 ht="23" customHeight="1">
      <x:c r="A24" s="6"/>
      <x:c r="B24" s="6"/>
      <x:c r="C24" s="6"/>
      <x:c r="D24" s="6"/>
      <x:c r="E24" s="6"/>
      <x:c r="F24" s="6"/>
      <x:c r="G24" s="6"/>
      <x:c r="H24" s="7"/>
      <x:c r="I24" s="6"/>
      <x:c r="J24" s="6"/>
      <x:c r="K24" s="7"/>
      <x:c r="L24" s="7"/>
      <x:c r="M24" s="6"/>
      <x:c r="N24" s="9" t="str">
        <x:f>IF(A24="","",IF(COUNTIFS($A$6:$A$205,A24)&gt;1,"Duplicate issue ID",IF(I24="Resolved",IF(OR(L24="",M24=""),"Resolution evidence gap","Resolved"),IF(G24="","Unassigned",IF(OR(I24="",H24="",F24="",J24="",K24=""),"Missing action / evidence",IF(K24&lt;'Dashboard'!$B$4,"Action overdue","Open action"))))))</x:f>
      </x:c>
      <x:c r="O24" s="6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 ht="23" customHeight="1">
      <x:c r="A25" s="6"/>
      <x:c r="B25" s="6"/>
      <x:c r="C25" s="6"/>
      <x:c r="D25" s="6"/>
      <x:c r="E25" s="6"/>
      <x:c r="F25" s="6"/>
      <x:c r="G25" s="6"/>
      <x:c r="H25" s="7"/>
      <x:c r="I25" s="6"/>
      <x:c r="J25" s="6"/>
      <x:c r="K25" s="7"/>
      <x:c r="L25" s="7"/>
      <x:c r="M25" s="6"/>
      <x:c r="N25" s="9" t="str">
        <x:f>IF(A25="","",IF(COUNTIFS($A$6:$A$205,A25)&gt;1,"Duplicate issue ID",IF(I25="Resolved",IF(OR(L25="",M25=""),"Resolution evidence gap","Resolved"),IF(G25="","Unassigned",IF(OR(I25="",H25="",F25="",J25="",K25=""),"Missing action / evidence",IF(K25&lt;'Dashboard'!$B$4,"Action overdue","Open action"))))))</x:f>
      </x:c>
      <x:c r="O25" s="6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 ht="23" customHeight="1">
      <x:c r="A26" s="6"/>
      <x:c r="B26" s="6"/>
      <x:c r="C26" s="6"/>
      <x:c r="D26" s="6"/>
      <x:c r="E26" s="6"/>
      <x:c r="F26" s="6"/>
      <x:c r="G26" s="6"/>
      <x:c r="H26" s="7"/>
      <x:c r="I26" s="6"/>
      <x:c r="J26" s="6"/>
      <x:c r="K26" s="7"/>
      <x:c r="L26" s="7"/>
      <x:c r="M26" s="6"/>
      <x:c r="N26" s="9" t="str">
        <x:f>IF(A26="","",IF(COUNTIFS($A$6:$A$205,A26)&gt;1,"Duplicate issue ID",IF(I26="Resolved",IF(OR(L26="",M26=""),"Resolution evidence gap","Resolved"),IF(G26="","Unassigned",IF(OR(I26="",H26="",F26="",J26="",K26=""),"Missing action / evidence",IF(K26&lt;'Dashboard'!$B$4,"Action overdue","Open action"))))))</x:f>
      </x:c>
      <x:c r="O26" s="6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 ht="23" customHeight="1">
      <x:c r="A27" s="6"/>
      <x:c r="B27" s="6"/>
      <x:c r="C27" s="6"/>
      <x:c r="D27" s="6"/>
      <x:c r="E27" s="6"/>
      <x:c r="F27" s="6"/>
      <x:c r="G27" s="6"/>
      <x:c r="H27" s="7"/>
      <x:c r="I27" s="6"/>
      <x:c r="J27" s="6"/>
      <x:c r="K27" s="7"/>
      <x:c r="L27" s="7"/>
      <x:c r="M27" s="6"/>
      <x:c r="N27" s="9" t="str">
        <x:f>IF(A27="","",IF(COUNTIFS($A$6:$A$205,A27)&gt;1,"Duplicate issue ID",IF(I27="Resolved",IF(OR(L27="",M27=""),"Resolution evidence gap","Resolved"),IF(G27="","Unassigned",IF(OR(I27="",H27="",F27="",J27="",K27=""),"Missing action / evidence",IF(K27&lt;'Dashboard'!$B$4,"Action overdue","Open action"))))))</x:f>
      </x:c>
      <x:c r="O27" s="6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 ht="23" customHeight="1">
      <x:c r="A28" s="6"/>
      <x:c r="B28" s="6"/>
      <x:c r="C28" s="6"/>
      <x:c r="D28" s="6"/>
      <x:c r="E28" s="6"/>
      <x:c r="F28" s="6"/>
      <x:c r="G28" s="6"/>
      <x:c r="H28" s="7"/>
      <x:c r="I28" s="6"/>
      <x:c r="J28" s="6"/>
      <x:c r="K28" s="7"/>
      <x:c r="L28" s="7"/>
      <x:c r="M28" s="6"/>
      <x:c r="N28" s="9" t="str">
        <x:f>IF(A28="","",IF(COUNTIFS($A$6:$A$205,A28)&gt;1,"Duplicate issue ID",IF(I28="Resolved",IF(OR(L28="",M28=""),"Resolution evidence gap","Resolved"),IF(G28="","Unassigned",IF(OR(I28="",H28="",F28="",J28="",K28=""),"Missing action / evidence",IF(K28&lt;'Dashboard'!$B$4,"Action overdue","Open action"))))))</x:f>
      </x:c>
      <x:c r="O28" s="6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 ht="23" customHeight="1">
      <x:c r="A29" s="6"/>
      <x:c r="B29" s="6"/>
      <x:c r="C29" s="6"/>
      <x:c r="D29" s="6"/>
      <x:c r="E29" s="6"/>
      <x:c r="F29" s="6"/>
      <x:c r="G29" s="6"/>
      <x:c r="H29" s="7"/>
      <x:c r="I29" s="6"/>
      <x:c r="J29" s="6"/>
      <x:c r="K29" s="7"/>
      <x:c r="L29" s="7"/>
      <x:c r="M29" s="6"/>
      <x:c r="N29" s="9" t="str">
        <x:f>IF(A29="","",IF(COUNTIFS($A$6:$A$205,A29)&gt;1,"Duplicate issue ID",IF(I29="Resolved",IF(OR(L29="",M29=""),"Resolution evidence gap","Resolved"),IF(G29="","Unassigned",IF(OR(I29="",H29="",F29="",J29="",K29=""),"Missing action / evidence",IF(K29&lt;'Dashboard'!$B$4,"Action overdue","Open action"))))))</x:f>
      </x:c>
      <x:c r="O29" s="6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 ht="23" customHeight="1">
      <x:c r="A30" s="6"/>
      <x:c r="B30" s="6"/>
      <x:c r="C30" s="6"/>
      <x:c r="D30" s="6"/>
      <x:c r="E30" s="6"/>
      <x:c r="F30" s="6"/>
      <x:c r="G30" s="6"/>
      <x:c r="H30" s="7"/>
      <x:c r="I30" s="6"/>
      <x:c r="J30" s="6"/>
      <x:c r="K30" s="7"/>
      <x:c r="L30" s="7"/>
      <x:c r="M30" s="6"/>
      <x:c r="N30" s="9" t="str">
        <x:f>IF(A30="","",IF(COUNTIFS($A$6:$A$205,A30)&gt;1,"Duplicate issue ID",IF(I30="Resolved",IF(OR(L30="",M30=""),"Resolution evidence gap","Resolved"),IF(G30="","Unassigned",IF(OR(I30="",H30="",F30="",J30="",K30=""),"Missing action / evidence",IF(K30&lt;'Dashboard'!$B$4,"Action overdue","Open action"))))))</x:f>
      </x:c>
      <x:c r="O30" s="6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 ht="23" customHeight="1">
      <x:c r="A31" s="6"/>
      <x:c r="B31" s="6"/>
      <x:c r="C31" s="6"/>
      <x:c r="D31" s="6"/>
      <x:c r="E31" s="6"/>
      <x:c r="F31" s="6"/>
      <x:c r="G31" s="6"/>
      <x:c r="H31" s="7"/>
      <x:c r="I31" s="6"/>
      <x:c r="J31" s="6"/>
      <x:c r="K31" s="7"/>
      <x:c r="L31" s="7"/>
      <x:c r="M31" s="6"/>
      <x:c r="N31" s="9" t="str">
        <x:f>IF(A31="","",IF(COUNTIFS($A$6:$A$205,A31)&gt;1,"Duplicate issue ID",IF(I31="Resolved",IF(OR(L31="",M31=""),"Resolution evidence gap","Resolved"),IF(G31="","Unassigned",IF(OR(I31="",H31="",F31="",J31="",K31=""),"Missing action / evidence",IF(K31&lt;'Dashboard'!$B$4,"Action overdue","Open action"))))))</x:f>
      </x:c>
      <x:c r="O31" s="6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 ht="23" customHeight="1">
      <x:c r="A32" s="6"/>
      <x:c r="B32" s="6"/>
      <x:c r="C32" s="6"/>
      <x:c r="D32" s="6"/>
      <x:c r="E32" s="6"/>
      <x:c r="F32" s="6"/>
      <x:c r="G32" s="6"/>
      <x:c r="H32" s="7"/>
      <x:c r="I32" s="6"/>
      <x:c r="J32" s="6"/>
      <x:c r="K32" s="7"/>
      <x:c r="L32" s="7"/>
      <x:c r="M32" s="6"/>
      <x:c r="N32" s="9" t="str">
        <x:f>IF(A32="","",IF(COUNTIFS($A$6:$A$205,A32)&gt;1,"Duplicate issue ID",IF(I32="Resolved",IF(OR(L32="",M32=""),"Resolution evidence gap","Resolved"),IF(G32="","Unassigned",IF(OR(I32="",H32="",F32="",J32="",K32=""),"Missing action / evidence",IF(K32&lt;'Dashboard'!$B$4,"Action overdue","Open action"))))))</x:f>
      </x:c>
      <x:c r="O32" s="6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 ht="23" customHeight="1">
      <x:c r="A33" s="6"/>
      <x:c r="B33" s="6"/>
      <x:c r="C33" s="6"/>
      <x:c r="D33" s="6"/>
      <x:c r="E33" s="6"/>
      <x:c r="F33" s="6"/>
      <x:c r="G33" s="6"/>
      <x:c r="H33" s="7"/>
      <x:c r="I33" s="6"/>
      <x:c r="J33" s="6"/>
      <x:c r="K33" s="7"/>
      <x:c r="L33" s="7"/>
      <x:c r="M33" s="6"/>
      <x:c r="N33" s="9" t="str">
        <x:f>IF(A33="","",IF(COUNTIFS($A$6:$A$205,A33)&gt;1,"Duplicate issue ID",IF(I33="Resolved",IF(OR(L33="",M33=""),"Resolution evidence gap","Resolved"),IF(G33="","Unassigned",IF(OR(I33="",H33="",F33="",J33="",K33=""),"Missing action / evidence",IF(K33&lt;'Dashboard'!$B$4,"Action overdue","Open action"))))))</x:f>
      </x:c>
      <x:c r="O33" s="6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 ht="23" customHeight="1">
      <x:c r="A34" s="6"/>
      <x:c r="B34" s="6"/>
      <x:c r="C34" s="6"/>
      <x:c r="D34" s="6"/>
      <x:c r="E34" s="6"/>
      <x:c r="F34" s="6"/>
      <x:c r="G34" s="6"/>
      <x:c r="H34" s="7"/>
      <x:c r="I34" s="6"/>
      <x:c r="J34" s="6"/>
      <x:c r="K34" s="7"/>
      <x:c r="L34" s="7"/>
      <x:c r="M34" s="6"/>
      <x:c r="N34" s="9" t="str">
        <x:f>IF(A34="","",IF(COUNTIFS($A$6:$A$205,A34)&gt;1,"Duplicate issue ID",IF(I34="Resolved",IF(OR(L34="",M34=""),"Resolution evidence gap","Resolved"),IF(G34="","Unassigned",IF(OR(I34="",H34="",F34="",J34="",K34=""),"Missing action / evidence",IF(K34&lt;'Dashboard'!$B$4,"Action overdue","Open action"))))))</x:f>
      </x:c>
      <x:c r="O34" s="6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 ht="23" customHeight="1">
      <x:c r="A35" s="6"/>
      <x:c r="B35" s="6"/>
      <x:c r="C35" s="6"/>
      <x:c r="D35" s="6"/>
      <x:c r="E35" s="6"/>
      <x:c r="F35" s="6"/>
      <x:c r="G35" s="6"/>
      <x:c r="H35" s="7"/>
      <x:c r="I35" s="6"/>
      <x:c r="J35" s="6"/>
      <x:c r="K35" s="7"/>
      <x:c r="L35" s="7"/>
      <x:c r="M35" s="6"/>
      <x:c r="N35" s="9" t="str">
        <x:f>IF(A35="","",IF(COUNTIFS($A$6:$A$205,A35)&gt;1,"Duplicate issue ID",IF(I35="Resolved",IF(OR(L35="",M35=""),"Resolution evidence gap","Resolved"),IF(G35="","Unassigned",IF(OR(I35="",H35="",F35="",J35="",K35=""),"Missing action / evidence",IF(K35&lt;'Dashboard'!$B$4,"Action overdue","Open action"))))))</x:f>
      </x:c>
      <x:c r="O35" s="6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 ht="23" customHeight="1">
      <x:c r="A36" s="6"/>
      <x:c r="B36" s="6"/>
      <x:c r="C36" s="6"/>
      <x:c r="D36" s="6"/>
      <x:c r="E36" s="6"/>
      <x:c r="F36" s="6"/>
      <x:c r="G36" s="6"/>
      <x:c r="H36" s="7"/>
      <x:c r="I36" s="6"/>
      <x:c r="J36" s="6"/>
      <x:c r="K36" s="7"/>
      <x:c r="L36" s="7"/>
      <x:c r="M36" s="6"/>
      <x:c r="N36" s="9" t="str">
        <x:f>IF(A36="","",IF(COUNTIFS($A$6:$A$205,A36)&gt;1,"Duplicate issue ID",IF(I36="Resolved",IF(OR(L36="",M36=""),"Resolution evidence gap","Resolved"),IF(G36="","Unassigned",IF(OR(I36="",H36="",F36="",J36="",K36=""),"Missing action / evidence",IF(K36&lt;'Dashboard'!$B$4,"Action overdue","Open action"))))))</x:f>
      </x:c>
      <x:c r="O36" s="6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 ht="23" customHeight="1">
      <x:c r="A37" s="6"/>
      <x:c r="B37" s="6"/>
      <x:c r="C37" s="6"/>
      <x:c r="D37" s="6"/>
      <x:c r="E37" s="6"/>
      <x:c r="F37" s="6"/>
      <x:c r="G37" s="6"/>
      <x:c r="H37" s="7"/>
      <x:c r="I37" s="6"/>
      <x:c r="J37" s="6"/>
      <x:c r="K37" s="7"/>
      <x:c r="L37" s="7"/>
      <x:c r="M37" s="6"/>
      <x:c r="N37" s="9" t="str">
        <x:f>IF(A37="","",IF(COUNTIFS($A$6:$A$205,A37)&gt;1,"Duplicate issue ID",IF(I37="Resolved",IF(OR(L37="",M37=""),"Resolution evidence gap","Resolved"),IF(G37="","Unassigned",IF(OR(I37="",H37="",F37="",J37="",K37=""),"Missing action / evidence",IF(K37&lt;'Dashboard'!$B$4,"Action overdue","Open action"))))))</x:f>
      </x:c>
      <x:c r="O37" s="6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 ht="23" customHeight="1">
      <x:c r="A38" s="6"/>
      <x:c r="B38" s="6"/>
      <x:c r="C38" s="6"/>
      <x:c r="D38" s="6"/>
      <x:c r="E38" s="6"/>
      <x:c r="F38" s="6"/>
      <x:c r="G38" s="6"/>
      <x:c r="H38" s="7"/>
      <x:c r="I38" s="6"/>
      <x:c r="J38" s="6"/>
      <x:c r="K38" s="7"/>
      <x:c r="L38" s="7"/>
      <x:c r="M38" s="6"/>
      <x:c r="N38" s="9" t="str">
        <x:f>IF(A38="","",IF(COUNTIFS($A$6:$A$205,A38)&gt;1,"Duplicate issue ID",IF(I38="Resolved",IF(OR(L38="",M38=""),"Resolution evidence gap","Resolved"),IF(G38="","Unassigned",IF(OR(I38="",H38="",F38="",J38="",K38=""),"Missing action / evidence",IF(K38&lt;'Dashboard'!$B$4,"Action overdue","Open action"))))))</x:f>
      </x:c>
      <x:c r="O38" s="6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 ht="23" customHeight="1">
      <x:c r="A39" s="6"/>
      <x:c r="B39" s="6"/>
      <x:c r="C39" s="6"/>
      <x:c r="D39" s="6"/>
      <x:c r="E39" s="6"/>
      <x:c r="F39" s="6"/>
      <x:c r="G39" s="6"/>
      <x:c r="H39" s="7"/>
      <x:c r="I39" s="6"/>
      <x:c r="J39" s="6"/>
      <x:c r="K39" s="7"/>
      <x:c r="L39" s="7"/>
      <x:c r="M39" s="6"/>
      <x:c r="N39" s="9" t="str">
        <x:f>IF(A39="","",IF(COUNTIFS($A$6:$A$205,A39)&gt;1,"Duplicate issue ID",IF(I39="Resolved",IF(OR(L39="",M39=""),"Resolution evidence gap","Resolved"),IF(G39="","Unassigned",IF(OR(I39="",H39="",F39="",J39="",K39=""),"Missing action / evidence",IF(K39&lt;'Dashboard'!$B$4,"Action overdue","Open action"))))))</x:f>
      </x:c>
      <x:c r="O39" s="6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 ht="23" customHeight="1">
      <x:c r="A40" s="6"/>
      <x:c r="B40" s="6"/>
      <x:c r="C40" s="6"/>
      <x:c r="D40" s="6"/>
      <x:c r="E40" s="6"/>
      <x:c r="F40" s="6"/>
      <x:c r="G40" s="6"/>
      <x:c r="H40" s="7"/>
      <x:c r="I40" s="6"/>
      <x:c r="J40" s="6"/>
      <x:c r="K40" s="7"/>
      <x:c r="L40" s="7"/>
      <x:c r="M40" s="6"/>
      <x:c r="N40" s="9" t="str">
        <x:f>IF(A40="","",IF(COUNTIFS($A$6:$A$205,A40)&gt;1,"Duplicate issue ID",IF(I40="Resolved",IF(OR(L40="",M40=""),"Resolution evidence gap","Resolved"),IF(G40="","Unassigned",IF(OR(I40="",H40="",F40="",J40="",K40=""),"Missing action / evidence",IF(K40&lt;'Dashboard'!$B$4,"Action overdue","Open action"))))))</x:f>
      </x:c>
      <x:c r="O40" s="6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 ht="23" customHeight="1">
      <x:c r="A41" s="6"/>
      <x:c r="B41" s="6"/>
      <x:c r="C41" s="6"/>
      <x:c r="D41" s="6"/>
      <x:c r="E41" s="6"/>
      <x:c r="F41" s="6"/>
      <x:c r="G41" s="6"/>
      <x:c r="H41" s="7"/>
      <x:c r="I41" s="6"/>
      <x:c r="J41" s="6"/>
      <x:c r="K41" s="7"/>
      <x:c r="L41" s="7"/>
      <x:c r="M41" s="6"/>
      <x:c r="N41" s="9" t="str">
        <x:f>IF(A41="","",IF(COUNTIFS($A$6:$A$205,A41)&gt;1,"Duplicate issue ID",IF(I41="Resolved",IF(OR(L41="",M41=""),"Resolution evidence gap","Resolved"),IF(G41="","Unassigned",IF(OR(I41="",H41="",F41="",J41="",K41=""),"Missing action / evidence",IF(K41&lt;'Dashboard'!$B$4,"Action overdue","Open action"))))))</x:f>
      </x:c>
      <x:c r="O41" s="6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 ht="23" customHeight="1">
      <x:c r="A42" s="6"/>
      <x:c r="B42" s="6"/>
      <x:c r="C42" s="6"/>
      <x:c r="D42" s="6"/>
      <x:c r="E42" s="6"/>
      <x:c r="F42" s="6"/>
      <x:c r="G42" s="6"/>
      <x:c r="H42" s="7"/>
      <x:c r="I42" s="6"/>
      <x:c r="J42" s="6"/>
      <x:c r="K42" s="7"/>
      <x:c r="L42" s="7"/>
      <x:c r="M42" s="6"/>
      <x:c r="N42" s="9" t="str">
        <x:f>IF(A42="","",IF(COUNTIFS($A$6:$A$205,A42)&gt;1,"Duplicate issue ID",IF(I42="Resolved",IF(OR(L42="",M42=""),"Resolution evidence gap","Resolved"),IF(G42="","Unassigned",IF(OR(I42="",H42="",F42="",J42="",K42=""),"Missing action / evidence",IF(K42&lt;'Dashboard'!$B$4,"Action overdue","Open action"))))))</x:f>
      </x:c>
      <x:c r="O42" s="6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 ht="23" customHeight="1">
      <x:c r="A43" s="6"/>
      <x:c r="B43" s="6"/>
      <x:c r="C43" s="6"/>
      <x:c r="D43" s="6"/>
      <x:c r="E43" s="6"/>
      <x:c r="F43" s="6"/>
      <x:c r="G43" s="6"/>
      <x:c r="H43" s="7"/>
      <x:c r="I43" s="6"/>
      <x:c r="J43" s="6"/>
      <x:c r="K43" s="7"/>
      <x:c r="L43" s="7"/>
      <x:c r="M43" s="6"/>
      <x:c r="N43" s="9" t="str">
        <x:f>IF(A43="","",IF(COUNTIFS($A$6:$A$205,A43)&gt;1,"Duplicate issue ID",IF(I43="Resolved",IF(OR(L43="",M43=""),"Resolution evidence gap","Resolved"),IF(G43="","Unassigned",IF(OR(I43="",H43="",F43="",J43="",K43=""),"Missing action / evidence",IF(K43&lt;'Dashboard'!$B$4,"Action overdue","Open action"))))))</x:f>
      </x:c>
      <x:c r="O43" s="6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 ht="23" customHeight="1">
      <x:c r="A44" s="6"/>
      <x:c r="B44" s="6"/>
      <x:c r="C44" s="6"/>
      <x:c r="D44" s="6"/>
      <x:c r="E44" s="6"/>
      <x:c r="F44" s="6"/>
      <x:c r="G44" s="6"/>
      <x:c r="H44" s="7"/>
      <x:c r="I44" s="6"/>
      <x:c r="J44" s="6"/>
      <x:c r="K44" s="7"/>
      <x:c r="L44" s="7"/>
      <x:c r="M44" s="6"/>
      <x:c r="N44" s="9" t="str">
        <x:f>IF(A44="","",IF(COUNTIFS($A$6:$A$205,A44)&gt;1,"Duplicate issue ID",IF(I44="Resolved",IF(OR(L44="",M44=""),"Resolution evidence gap","Resolved"),IF(G44="","Unassigned",IF(OR(I44="",H44="",F44="",J44="",K44=""),"Missing action / evidence",IF(K44&lt;'Dashboard'!$B$4,"Action overdue","Open action"))))))</x:f>
      </x:c>
      <x:c r="O44" s="6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 ht="23" customHeight="1">
      <x:c r="A45" s="6"/>
      <x:c r="B45" s="6"/>
      <x:c r="C45" s="6"/>
      <x:c r="D45" s="6"/>
      <x:c r="E45" s="6"/>
      <x:c r="F45" s="6"/>
      <x:c r="G45" s="6"/>
      <x:c r="H45" s="7"/>
      <x:c r="I45" s="6"/>
      <x:c r="J45" s="6"/>
      <x:c r="K45" s="7"/>
      <x:c r="L45" s="7"/>
      <x:c r="M45" s="6"/>
      <x:c r="N45" s="9" t="str">
        <x:f>IF(A45="","",IF(COUNTIFS($A$6:$A$205,A45)&gt;1,"Duplicate issue ID",IF(I45="Resolved",IF(OR(L45="",M45=""),"Resolution evidence gap","Resolved"),IF(G45="","Unassigned",IF(OR(I45="",H45="",F45="",J45="",K45=""),"Missing action / evidence",IF(K45&lt;'Dashboard'!$B$4,"Action overdue","Open action"))))))</x:f>
      </x:c>
      <x:c r="O45" s="6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 ht="23" customHeight="1">
      <x:c r="A46" s="6"/>
      <x:c r="B46" s="6"/>
      <x:c r="C46" s="6"/>
      <x:c r="D46" s="6"/>
      <x:c r="E46" s="6"/>
      <x:c r="F46" s="6"/>
      <x:c r="G46" s="6"/>
      <x:c r="H46" s="7"/>
      <x:c r="I46" s="6"/>
      <x:c r="J46" s="6"/>
      <x:c r="K46" s="7"/>
      <x:c r="L46" s="7"/>
      <x:c r="M46" s="6"/>
      <x:c r="N46" s="9" t="str">
        <x:f>IF(A46="","",IF(COUNTIFS($A$6:$A$205,A46)&gt;1,"Duplicate issue ID",IF(I46="Resolved",IF(OR(L46="",M46=""),"Resolution evidence gap","Resolved"),IF(G46="","Unassigned",IF(OR(I46="",H46="",F46="",J46="",K46=""),"Missing action / evidence",IF(K46&lt;'Dashboard'!$B$4,"Action overdue","Open action"))))))</x:f>
      </x:c>
      <x:c r="O46" s="6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 ht="23" customHeight="1">
      <x:c r="A47" s="6"/>
      <x:c r="B47" s="6"/>
      <x:c r="C47" s="6"/>
      <x:c r="D47" s="6"/>
      <x:c r="E47" s="6"/>
      <x:c r="F47" s="6"/>
      <x:c r="G47" s="6"/>
      <x:c r="H47" s="7"/>
      <x:c r="I47" s="6"/>
      <x:c r="J47" s="6"/>
      <x:c r="K47" s="7"/>
      <x:c r="L47" s="7"/>
      <x:c r="M47" s="6"/>
      <x:c r="N47" s="9" t="str">
        <x:f>IF(A47="","",IF(COUNTIFS($A$6:$A$205,A47)&gt;1,"Duplicate issue ID",IF(I47="Resolved",IF(OR(L47="",M47=""),"Resolution evidence gap","Resolved"),IF(G47="","Unassigned",IF(OR(I47="",H47="",F47="",J47="",K47=""),"Missing action / evidence",IF(K47&lt;'Dashboard'!$B$4,"Action overdue","Open action"))))))</x:f>
      </x:c>
      <x:c r="O47" s="6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 ht="23" customHeight="1">
      <x:c r="A48" s="6"/>
      <x:c r="B48" s="6"/>
      <x:c r="C48" s="6"/>
      <x:c r="D48" s="6"/>
      <x:c r="E48" s="6"/>
      <x:c r="F48" s="6"/>
      <x:c r="G48" s="6"/>
      <x:c r="H48" s="7"/>
      <x:c r="I48" s="6"/>
      <x:c r="J48" s="6"/>
      <x:c r="K48" s="7"/>
      <x:c r="L48" s="7"/>
      <x:c r="M48" s="6"/>
      <x:c r="N48" s="9" t="str">
        <x:f>IF(A48="","",IF(COUNTIFS($A$6:$A$205,A48)&gt;1,"Duplicate issue ID",IF(I48="Resolved",IF(OR(L48="",M48=""),"Resolution evidence gap","Resolved"),IF(G48="","Unassigned",IF(OR(I48="",H48="",F48="",J48="",K48=""),"Missing action / evidence",IF(K48&lt;'Dashboard'!$B$4,"Action overdue","Open action"))))))</x:f>
      </x:c>
      <x:c r="O48" s="6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 ht="23" customHeight="1">
      <x:c r="A49" s="6"/>
      <x:c r="B49" s="6"/>
      <x:c r="C49" s="6"/>
      <x:c r="D49" s="6"/>
      <x:c r="E49" s="6"/>
      <x:c r="F49" s="6"/>
      <x:c r="G49" s="6"/>
      <x:c r="H49" s="7"/>
      <x:c r="I49" s="6"/>
      <x:c r="J49" s="6"/>
      <x:c r="K49" s="7"/>
      <x:c r="L49" s="7"/>
      <x:c r="M49" s="6"/>
      <x:c r="N49" s="9" t="str">
        <x:f>IF(A49="","",IF(COUNTIFS($A$6:$A$205,A49)&gt;1,"Duplicate issue ID",IF(I49="Resolved",IF(OR(L49="",M49=""),"Resolution evidence gap","Resolved"),IF(G49="","Unassigned",IF(OR(I49="",H49="",F49="",J49="",K49=""),"Missing action / evidence",IF(K49&lt;'Dashboard'!$B$4,"Action overdue","Open action"))))))</x:f>
      </x:c>
      <x:c r="O49" s="6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 ht="23" customHeight="1">
      <x:c r="A50" s="6"/>
      <x:c r="B50" s="6"/>
      <x:c r="C50" s="6"/>
      <x:c r="D50" s="6"/>
      <x:c r="E50" s="6"/>
      <x:c r="F50" s="6"/>
      <x:c r="G50" s="6"/>
      <x:c r="H50" s="7"/>
      <x:c r="I50" s="6"/>
      <x:c r="J50" s="6"/>
      <x:c r="K50" s="7"/>
      <x:c r="L50" s="7"/>
      <x:c r="M50" s="6"/>
      <x:c r="N50" s="9" t="str">
        <x:f>IF(A50="","",IF(COUNTIFS($A$6:$A$205,A50)&gt;1,"Duplicate issue ID",IF(I50="Resolved",IF(OR(L50="",M50=""),"Resolution evidence gap","Resolved"),IF(G50="","Unassigned",IF(OR(I50="",H50="",F50="",J50="",K50=""),"Missing action / evidence",IF(K50&lt;'Dashboard'!$B$4,"Action overdue","Open action"))))))</x:f>
      </x:c>
      <x:c r="O50" s="6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 ht="23" customHeight="1">
      <x:c r="A51" s="6"/>
      <x:c r="B51" s="6"/>
      <x:c r="C51" s="6"/>
      <x:c r="D51" s="6"/>
      <x:c r="E51" s="6"/>
      <x:c r="F51" s="6"/>
      <x:c r="G51" s="6"/>
      <x:c r="H51" s="7"/>
      <x:c r="I51" s="6"/>
      <x:c r="J51" s="6"/>
      <x:c r="K51" s="7"/>
      <x:c r="L51" s="7"/>
      <x:c r="M51" s="6"/>
      <x:c r="N51" s="9" t="str">
        <x:f>IF(A51="","",IF(COUNTIFS($A$6:$A$205,A51)&gt;1,"Duplicate issue ID",IF(I51="Resolved",IF(OR(L51="",M51=""),"Resolution evidence gap","Resolved"),IF(G51="","Unassigned",IF(OR(I51="",H51="",F51="",J51="",K51=""),"Missing action / evidence",IF(K51&lt;'Dashboard'!$B$4,"Action overdue","Open action"))))))</x:f>
      </x:c>
      <x:c r="O51" s="6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 ht="23" customHeight="1">
      <x:c r="A52" s="6"/>
      <x:c r="B52" s="6"/>
      <x:c r="C52" s="6"/>
      <x:c r="D52" s="6"/>
      <x:c r="E52" s="6"/>
      <x:c r="F52" s="6"/>
      <x:c r="G52" s="6"/>
      <x:c r="H52" s="7"/>
      <x:c r="I52" s="6"/>
      <x:c r="J52" s="6"/>
      <x:c r="K52" s="7"/>
      <x:c r="L52" s="7"/>
      <x:c r="M52" s="6"/>
      <x:c r="N52" s="9" t="str">
        <x:f>IF(A52="","",IF(COUNTIFS($A$6:$A$205,A52)&gt;1,"Duplicate issue ID",IF(I52="Resolved",IF(OR(L52="",M52=""),"Resolution evidence gap","Resolved"),IF(G52="","Unassigned",IF(OR(I52="",H52="",F52="",J52="",K52=""),"Missing action / evidence",IF(K52&lt;'Dashboard'!$B$4,"Action overdue","Open action"))))))</x:f>
      </x:c>
      <x:c r="O52" s="6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 ht="23" customHeight="1">
      <x:c r="A53" s="6"/>
      <x:c r="B53" s="6"/>
      <x:c r="C53" s="6"/>
      <x:c r="D53" s="6"/>
      <x:c r="E53" s="6"/>
      <x:c r="F53" s="6"/>
      <x:c r="G53" s="6"/>
      <x:c r="H53" s="7"/>
      <x:c r="I53" s="6"/>
      <x:c r="J53" s="6"/>
      <x:c r="K53" s="7"/>
      <x:c r="L53" s="7"/>
      <x:c r="M53" s="6"/>
      <x:c r="N53" s="9" t="str">
        <x:f>IF(A53="","",IF(COUNTIFS($A$6:$A$205,A53)&gt;1,"Duplicate issue ID",IF(I53="Resolved",IF(OR(L53="",M53=""),"Resolution evidence gap","Resolved"),IF(G53="","Unassigned",IF(OR(I53="",H53="",F53="",J53="",K53=""),"Missing action / evidence",IF(K53&lt;'Dashboard'!$B$4,"Action overdue","Open action"))))))</x:f>
      </x:c>
      <x:c r="O53" s="6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 ht="23" customHeight="1">
      <x:c r="A54" s="6"/>
      <x:c r="B54" s="6"/>
      <x:c r="C54" s="6"/>
      <x:c r="D54" s="6"/>
      <x:c r="E54" s="6"/>
      <x:c r="F54" s="6"/>
      <x:c r="G54" s="6"/>
      <x:c r="H54" s="7"/>
      <x:c r="I54" s="6"/>
      <x:c r="J54" s="6"/>
      <x:c r="K54" s="7"/>
      <x:c r="L54" s="7"/>
      <x:c r="M54" s="6"/>
      <x:c r="N54" s="9" t="str">
        <x:f>IF(A54="","",IF(COUNTIFS($A$6:$A$205,A54)&gt;1,"Duplicate issue ID",IF(I54="Resolved",IF(OR(L54="",M54=""),"Resolution evidence gap","Resolved"),IF(G54="","Unassigned",IF(OR(I54="",H54="",F54="",J54="",K54=""),"Missing action / evidence",IF(K54&lt;'Dashboard'!$B$4,"Action overdue","Open action"))))))</x:f>
      </x:c>
      <x:c r="O54" s="6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 ht="23" customHeight="1">
      <x:c r="A55" s="6"/>
      <x:c r="B55" s="6"/>
      <x:c r="C55" s="6"/>
      <x:c r="D55" s="6"/>
      <x:c r="E55" s="6"/>
      <x:c r="F55" s="6"/>
      <x:c r="G55" s="6"/>
      <x:c r="H55" s="7"/>
      <x:c r="I55" s="6"/>
      <x:c r="J55" s="6"/>
      <x:c r="K55" s="7"/>
      <x:c r="L55" s="7"/>
      <x:c r="M55" s="6"/>
      <x:c r="N55" s="9" t="str">
        <x:f>IF(A55="","",IF(COUNTIFS($A$6:$A$205,A55)&gt;1,"Duplicate issue ID",IF(I55="Resolved",IF(OR(L55="",M55=""),"Resolution evidence gap","Resolved"),IF(G55="","Unassigned",IF(OR(I55="",H55="",F55="",J55="",K55=""),"Missing action / evidence",IF(K55&lt;'Dashboard'!$B$4,"Action overdue","Open action"))))))</x:f>
      </x:c>
      <x:c r="O55" s="6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 ht="23" customHeight="1">
      <x:c r="A56" s="6"/>
      <x:c r="B56" s="6"/>
      <x:c r="C56" s="6"/>
      <x:c r="D56" s="6"/>
      <x:c r="E56" s="6"/>
      <x:c r="F56" s="6"/>
      <x:c r="G56" s="6"/>
      <x:c r="H56" s="7"/>
      <x:c r="I56" s="6"/>
      <x:c r="J56" s="6"/>
      <x:c r="K56" s="7"/>
      <x:c r="L56" s="7"/>
      <x:c r="M56" s="6"/>
      <x:c r="N56" s="9" t="str">
        <x:f>IF(A56="","",IF(COUNTIFS($A$6:$A$205,A56)&gt;1,"Duplicate issue ID",IF(I56="Resolved",IF(OR(L56="",M56=""),"Resolution evidence gap","Resolved"),IF(G56="","Unassigned",IF(OR(I56="",H56="",F56="",J56="",K56=""),"Missing action / evidence",IF(K56&lt;'Dashboard'!$B$4,"Action overdue","Open action"))))))</x:f>
      </x:c>
      <x:c r="O56" s="6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 ht="23" customHeight="1">
      <x:c r="A57" s="6"/>
      <x:c r="B57" s="6"/>
      <x:c r="C57" s="6"/>
      <x:c r="D57" s="6"/>
      <x:c r="E57" s="6"/>
      <x:c r="F57" s="6"/>
      <x:c r="G57" s="6"/>
      <x:c r="H57" s="7"/>
      <x:c r="I57" s="6"/>
      <x:c r="J57" s="6"/>
      <x:c r="K57" s="7"/>
      <x:c r="L57" s="7"/>
      <x:c r="M57" s="6"/>
      <x:c r="N57" s="9" t="str">
        <x:f>IF(A57="","",IF(COUNTIFS($A$6:$A$205,A57)&gt;1,"Duplicate issue ID",IF(I57="Resolved",IF(OR(L57="",M57=""),"Resolution evidence gap","Resolved"),IF(G57="","Unassigned",IF(OR(I57="",H57="",F57="",J57="",K57=""),"Missing action / evidence",IF(K57&lt;'Dashboard'!$B$4,"Action overdue","Open action"))))))</x:f>
      </x:c>
      <x:c r="O57" s="6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 ht="23" customHeight="1">
      <x:c r="A58" s="6"/>
      <x:c r="B58" s="6"/>
      <x:c r="C58" s="6"/>
      <x:c r="D58" s="6"/>
      <x:c r="E58" s="6"/>
      <x:c r="F58" s="6"/>
      <x:c r="G58" s="6"/>
      <x:c r="H58" s="7"/>
      <x:c r="I58" s="6"/>
      <x:c r="J58" s="6"/>
      <x:c r="K58" s="7"/>
      <x:c r="L58" s="7"/>
      <x:c r="M58" s="6"/>
      <x:c r="N58" s="9" t="str">
        <x:f>IF(A58="","",IF(COUNTIFS($A$6:$A$205,A58)&gt;1,"Duplicate issue ID",IF(I58="Resolved",IF(OR(L58="",M58=""),"Resolution evidence gap","Resolved"),IF(G58="","Unassigned",IF(OR(I58="",H58="",F58="",J58="",K58=""),"Missing action / evidence",IF(K58&lt;'Dashboard'!$B$4,"Action overdue","Open action"))))))</x:f>
      </x:c>
      <x:c r="O58" s="6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 ht="23" customHeight="1">
      <x:c r="A59" s="6"/>
      <x:c r="B59" s="6"/>
      <x:c r="C59" s="6"/>
      <x:c r="D59" s="6"/>
      <x:c r="E59" s="6"/>
      <x:c r="F59" s="6"/>
      <x:c r="G59" s="6"/>
      <x:c r="H59" s="7"/>
      <x:c r="I59" s="6"/>
      <x:c r="J59" s="6"/>
      <x:c r="K59" s="7"/>
      <x:c r="L59" s="7"/>
      <x:c r="M59" s="6"/>
      <x:c r="N59" s="9" t="str">
        <x:f>IF(A59="","",IF(COUNTIFS($A$6:$A$205,A59)&gt;1,"Duplicate issue ID",IF(I59="Resolved",IF(OR(L59="",M59=""),"Resolution evidence gap","Resolved"),IF(G59="","Unassigned",IF(OR(I59="",H59="",F59="",J59="",K59=""),"Missing action / evidence",IF(K59&lt;'Dashboard'!$B$4,"Action overdue","Open action"))))))</x:f>
      </x:c>
      <x:c r="O59" s="6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 ht="23" customHeight="1">
      <x:c r="A60" s="6"/>
      <x:c r="B60" s="6"/>
      <x:c r="C60" s="6"/>
      <x:c r="D60" s="6"/>
      <x:c r="E60" s="6"/>
      <x:c r="F60" s="6"/>
      <x:c r="G60" s="6"/>
      <x:c r="H60" s="7"/>
      <x:c r="I60" s="6"/>
      <x:c r="J60" s="6"/>
      <x:c r="K60" s="7"/>
      <x:c r="L60" s="7"/>
      <x:c r="M60" s="6"/>
      <x:c r="N60" s="9" t="str">
        <x:f>IF(A60="","",IF(COUNTIFS($A$6:$A$205,A60)&gt;1,"Duplicate issue ID",IF(I60="Resolved",IF(OR(L60="",M60=""),"Resolution evidence gap","Resolved"),IF(G60="","Unassigned",IF(OR(I60="",H60="",F60="",J60="",K60=""),"Missing action / evidence",IF(K60&lt;'Dashboard'!$B$4,"Action overdue","Open action"))))))</x:f>
      </x:c>
      <x:c r="O60" s="6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 ht="23" customHeight="1">
      <x:c r="A61" s="6"/>
      <x:c r="B61" s="6"/>
      <x:c r="C61" s="6"/>
      <x:c r="D61" s="6"/>
      <x:c r="E61" s="6"/>
      <x:c r="F61" s="6"/>
      <x:c r="G61" s="6"/>
      <x:c r="H61" s="7"/>
      <x:c r="I61" s="6"/>
      <x:c r="J61" s="6"/>
      <x:c r="K61" s="7"/>
      <x:c r="L61" s="7"/>
      <x:c r="M61" s="6"/>
      <x:c r="N61" s="9" t="str">
        <x:f>IF(A61="","",IF(COUNTIFS($A$6:$A$205,A61)&gt;1,"Duplicate issue ID",IF(I61="Resolved",IF(OR(L61="",M61=""),"Resolution evidence gap","Resolved"),IF(G61="","Unassigned",IF(OR(I61="",H61="",F61="",J61="",K61=""),"Missing action / evidence",IF(K61&lt;'Dashboard'!$B$4,"Action overdue","Open action"))))))</x:f>
      </x:c>
      <x:c r="O61" s="6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 ht="23" customHeight="1">
      <x:c r="A62" s="6"/>
      <x:c r="B62" s="6"/>
      <x:c r="C62" s="6"/>
      <x:c r="D62" s="6"/>
      <x:c r="E62" s="6"/>
      <x:c r="F62" s="6"/>
      <x:c r="G62" s="6"/>
      <x:c r="H62" s="7"/>
      <x:c r="I62" s="6"/>
      <x:c r="J62" s="6"/>
      <x:c r="K62" s="7"/>
      <x:c r="L62" s="7"/>
      <x:c r="M62" s="6"/>
      <x:c r="N62" s="9" t="str">
        <x:f>IF(A62="","",IF(COUNTIFS($A$6:$A$205,A62)&gt;1,"Duplicate issue ID",IF(I62="Resolved",IF(OR(L62="",M62=""),"Resolution evidence gap","Resolved"),IF(G62="","Unassigned",IF(OR(I62="",H62="",F62="",J62="",K62=""),"Missing action / evidence",IF(K62&lt;'Dashboard'!$B$4,"Action overdue","Open action"))))))</x:f>
      </x:c>
      <x:c r="O62" s="6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 ht="23" customHeight="1">
      <x:c r="A63" s="6"/>
      <x:c r="B63" s="6"/>
      <x:c r="C63" s="6"/>
      <x:c r="D63" s="6"/>
      <x:c r="E63" s="6"/>
      <x:c r="F63" s="6"/>
      <x:c r="G63" s="6"/>
      <x:c r="H63" s="7"/>
      <x:c r="I63" s="6"/>
      <x:c r="J63" s="6"/>
      <x:c r="K63" s="7"/>
      <x:c r="L63" s="7"/>
      <x:c r="M63" s="6"/>
      <x:c r="N63" s="9" t="str">
        <x:f>IF(A63="","",IF(COUNTIFS($A$6:$A$205,A63)&gt;1,"Duplicate issue ID",IF(I63="Resolved",IF(OR(L63="",M63=""),"Resolution evidence gap","Resolved"),IF(G63="","Unassigned",IF(OR(I63="",H63="",F63="",J63="",K63=""),"Missing action / evidence",IF(K63&lt;'Dashboard'!$B$4,"Action overdue","Open action"))))))</x:f>
      </x:c>
      <x:c r="O63" s="6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 ht="23" customHeight="1">
      <x:c r="A64" s="6"/>
      <x:c r="B64" s="6"/>
      <x:c r="C64" s="6"/>
      <x:c r="D64" s="6"/>
      <x:c r="E64" s="6"/>
      <x:c r="F64" s="6"/>
      <x:c r="G64" s="6"/>
      <x:c r="H64" s="7"/>
      <x:c r="I64" s="6"/>
      <x:c r="J64" s="6"/>
      <x:c r="K64" s="7"/>
      <x:c r="L64" s="7"/>
      <x:c r="M64" s="6"/>
      <x:c r="N64" s="9" t="str">
        <x:f>IF(A64="","",IF(COUNTIFS($A$6:$A$205,A64)&gt;1,"Duplicate issue ID",IF(I64="Resolved",IF(OR(L64="",M64=""),"Resolution evidence gap","Resolved"),IF(G64="","Unassigned",IF(OR(I64="",H64="",F64="",J64="",K64=""),"Missing action / evidence",IF(K64&lt;'Dashboard'!$B$4,"Action overdue","Open action"))))))</x:f>
      </x:c>
      <x:c r="O64" s="6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 ht="23" customHeight="1">
      <x:c r="A65" s="6"/>
      <x:c r="B65" s="6"/>
      <x:c r="C65" s="6"/>
      <x:c r="D65" s="6"/>
      <x:c r="E65" s="6"/>
      <x:c r="F65" s="6"/>
      <x:c r="G65" s="6"/>
      <x:c r="H65" s="7"/>
      <x:c r="I65" s="6"/>
      <x:c r="J65" s="6"/>
      <x:c r="K65" s="7"/>
      <x:c r="L65" s="7"/>
      <x:c r="M65" s="6"/>
      <x:c r="N65" s="9" t="str">
        <x:f>IF(A65="","",IF(COUNTIFS($A$6:$A$205,A65)&gt;1,"Duplicate issue ID",IF(I65="Resolved",IF(OR(L65="",M65=""),"Resolution evidence gap","Resolved"),IF(G65="","Unassigned",IF(OR(I65="",H65="",F65="",J65="",K65=""),"Missing action / evidence",IF(K65&lt;'Dashboard'!$B$4,"Action overdue","Open action"))))))</x:f>
      </x:c>
      <x:c r="O65" s="6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 ht="23" customHeight="1">
      <x:c r="A66" s="6"/>
      <x:c r="B66" s="6"/>
      <x:c r="C66" s="6"/>
      <x:c r="D66" s="6"/>
      <x:c r="E66" s="6"/>
      <x:c r="F66" s="6"/>
      <x:c r="G66" s="6"/>
      <x:c r="H66" s="7"/>
      <x:c r="I66" s="6"/>
      <x:c r="J66" s="6"/>
      <x:c r="K66" s="7"/>
      <x:c r="L66" s="7"/>
      <x:c r="M66" s="6"/>
      <x:c r="N66" s="9" t="str">
        <x:f>IF(A66="","",IF(COUNTIFS($A$6:$A$205,A66)&gt;1,"Duplicate issue ID",IF(I66="Resolved",IF(OR(L66="",M66=""),"Resolution evidence gap","Resolved"),IF(G66="","Unassigned",IF(OR(I66="",H66="",F66="",J66="",K66=""),"Missing action / evidence",IF(K66&lt;'Dashboard'!$B$4,"Action overdue","Open action"))))))</x:f>
      </x:c>
      <x:c r="O66" s="6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 ht="23" customHeight="1">
      <x:c r="A67" s="6"/>
      <x:c r="B67" s="6"/>
      <x:c r="C67" s="6"/>
      <x:c r="D67" s="6"/>
      <x:c r="E67" s="6"/>
      <x:c r="F67" s="6"/>
      <x:c r="G67" s="6"/>
      <x:c r="H67" s="7"/>
      <x:c r="I67" s="6"/>
      <x:c r="J67" s="6"/>
      <x:c r="K67" s="7"/>
      <x:c r="L67" s="7"/>
      <x:c r="M67" s="6"/>
      <x:c r="N67" s="9" t="str">
        <x:f>IF(A67="","",IF(COUNTIFS($A$6:$A$205,A67)&gt;1,"Duplicate issue ID",IF(I67="Resolved",IF(OR(L67="",M67=""),"Resolution evidence gap","Resolved"),IF(G67="","Unassigned",IF(OR(I67="",H67="",F67="",J67="",K67=""),"Missing action / evidence",IF(K67&lt;'Dashboard'!$B$4,"Action overdue","Open action"))))))</x:f>
      </x:c>
      <x:c r="O67" s="6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 ht="23" customHeight="1">
      <x:c r="A68" s="6"/>
      <x:c r="B68" s="6"/>
      <x:c r="C68" s="6"/>
      <x:c r="D68" s="6"/>
      <x:c r="E68" s="6"/>
      <x:c r="F68" s="6"/>
      <x:c r="G68" s="6"/>
      <x:c r="H68" s="7"/>
      <x:c r="I68" s="6"/>
      <x:c r="J68" s="6"/>
      <x:c r="K68" s="7"/>
      <x:c r="L68" s="7"/>
      <x:c r="M68" s="6"/>
      <x:c r="N68" s="9" t="str">
        <x:f>IF(A68="","",IF(COUNTIFS($A$6:$A$205,A68)&gt;1,"Duplicate issue ID",IF(I68="Resolved",IF(OR(L68="",M68=""),"Resolution evidence gap","Resolved"),IF(G68="","Unassigned",IF(OR(I68="",H68="",F68="",J68="",K68=""),"Missing action / evidence",IF(K68&lt;'Dashboard'!$B$4,"Action overdue","Open action"))))))</x:f>
      </x:c>
      <x:c r="O68" s="6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 ht="23" customHeight="1">
      <x:c r="A69" s="6"/>
      <x:c r="B69" s="6"/>
      <x:c r="C69" s="6"/>
      <x:c r="D69" s="6"/>
      <x:c r="E69" s="6"/>
      <x:c r="F69" s="6"/>
      <x:c r="G69" s="6"/>
      <x:c r="H69" s="7"/>
      <x:c r="I69" s="6"/>
      <x:c r="J69" s="6"/>
      <x:c r="K69" s="7"/>
      <x:c r="L69" s="7"/>
      <x:c r="M69" s="6"/>
      <x:c r="N69" s="9" t="str">
        <x:f>IF(A69="","",IF(COUNTIFS($A$6:$A$205,A69)&gt;1,"Duplicate issue ID",IF(I69="Resolved",IF(OR(L69="",M69=""),"Resolution evidence gap","Resolved"),IF(G69="","Unassigned",IF(OR(I69="",H69="",F69="",J69="",K69=""),"Missing action / evidence",IF(K69&lt;'Dashboard'!$B$4,"Action overdue","Open action"))))))</x:f>
      </x:c>
      <x:c r="O69" s="6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 ht="23" customHeight="1">
      <x:c r="A70" s="6"/>
      <x:c r="B70" s="6"/>
      <x:c r="C70" s="6"/>
      <x:c r="D70" s="6"/>
      <x:c r="E70" s="6"/>
      <x:c r="F70" s="6"/>
      <x:c r="G70" s="6"/>
      <x:c r="H70" s="7"/>
      <x:c r="I70" s="6"/>
      <x:c r="J70" s="6"/>
      <x:c r="K70" s="7"/>
      <x:c r="L70" s="7"/>
      <x:c r="M70" s="6"/>
      <x:c r="N70" s="9" t="str">
        <x:f>IF(A70="","",IF(COUNTIFS($A$6:$A$205,A70)&gt;1,"Duplicate issue ID",IF(I70="Resolved",IF(OR(L70="",M70=""),"Resolution evidence gap","Resolved"),IF(G70="","Unassigned",IF(OR(I70="",H70="",F70="",J70="",K70=""),"Missing action / evidence",IF(K70&lt;'Dashboard'!$B$4,"Action overdue","Open action"))))))</x:f>
      </x:c>
      <x:c r="O70" s="6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 ht="23" customHeight="1">
      <x:c r="A71" s="6"/>
      <x:c r="B71" s="6"/>
      <x:c r="C71" s="6"/>
      <x:c r="D71" s="6"/>
      <x:c r="E71" s="6"/>
      <x:c r="F71" s="6"/>
      <x:c r="G71" s="6"/>
      <x:c r="H71" s="7"/>
      <x:c r="I71" s="6"/>
      <x:c r="J71" s="6"/>
      <x:c r="K71" s="7"/>
      <x:c r="L71" s="7"/>
      <x:c r="M71" s="6"/>
      <x:c r="N71" s="9" t="str">
        <x:f>IF(A71="","",IF(COUNTIFS($A$6:$A$205,A71)&gt;1,"Duplicate issue ID",IF(I71="Resolved",IF(OR(L71="",M71=""),"Resolution evidence gap","Resolved"),IF(G71="","Unassigned",IF(OR(I71="",H71="",F71="",J71="",K71=""),"Missing action / evidence",IF(K71&lt;'Dashboard'!$B$4,"Action overdue","Open action"))))))</x:f>
      </x:c>
      <x:c r="O71" s="6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 ht="23" customHeight="1">
      <x:c r="A72" s="6"/>
      <x:c r="B72" s="6"/>
      <x:c r="C72" s="6"/>
      <x:c r="D72" s="6"/>
      <x:c r="E72" s="6"/>
      <x:c r="F72" s="6"/>
      <x:c r="G72" s="6"/>
      <x:c r="H72" s="7"/>
      <x:c r="I72" s="6"/>
      <x:c r="J72" s="6"/>
      <x:c r="K72" s="7"/>
      <x:c r="L72" s="7"/>
      <x:c r="M72" s="6"/>
      <x:c r="N72" s="9" t="str">
        <x:f>IF(A72="","",IF(COUNTIFS($A$6:$A$205,A72)&gt;1,"Duplicate issue ID",IF(I72="Resolved",IF(OR(L72="",M72=""),"Resolution evidence gap","Resolved"),IF(G72="","Unassigned",IF(OR(I72="",H72="",F72="",J72="",K72=""),"Missing action / evidence",IF(K72&lt;'Dashboard'!$B$4,"Action overdue","Open action"))))))</x:f>
      </x:c>
      <x:c r="O72" s="6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 ht="23" customHeight="1">
      <x:c r="A73" s="6"/>
      <x:c r="B73" s="6"/>
      <x:c r="C73" s="6"/>
      <x:c r="D73" s="6"/>
      <x:c r="E73" s="6"/>
      <x:c r="F73" s="6"/>
      <x:c r="G73" s="6"/>
      <x:c r="H73" s="7"/>
      <x:c r="I73" s="6"/>
      <x:c r="J73" s="6"/>
      <x:c r="K73" s="7"/>
      <x:c r="L73" s="7"/>
      <x:c r="M73" s="6"/>
      <x:c r="N73" s="9" t="str">
        <x:f>IF(A73="","",IF(COUNTIFS($A$6:$A$205,A73)&gt;1,"Duplicate issue ID",IF(I73="Resolved",IF(OR(L73="",M73=""),"Resolution evidence gap","Resolved"),IF(G73="","Unassigned",IF(OR(I73="",H73="",F73="",J73="",K73=""),"Missing action / evidence",IF(K73&lt;'Dashboard'!$B$4,"Action overdue","Open action"))))))</x:f>
      </x:c>
      <x:c r="O73" s="6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 ht="23" customHeight="1">
      <x:c r="A74" s="6"/>
      <x:c r="B74" s="6"/>
      <x:c r="C74" s="6"/>
      <x:c r="D74" s="6"/>
      <x:c r="E74" s="6"/>
      <x:c r="F74" s="6"/>
      <x:c r="G74" s="6"/>
      <x:c r="H74" s="7"/>
      <x:c r="I74" s="6"/>
      <x:c r="J74" s="6"/>
      <x:c r="K74" s="7"/>
      <x:c r="L74" s="7"/>
      <x:c r="M74" s="6"/>
      <x:c r="N74" s="9" t="str">
        <x:f>IF(A74="","",IF(COUNTIFS($A$6:$A$205,A74)&gt;1,"Duplicate issue ID",IF(I74="Resolved",IF(OR(L74="",M74=""),"Resolution evidence gap","Resolved"),IF(G74="","Unassigned",IF(OR(I74="",H74="",F74="",J74="",K74=""),"Missing action / evidence",IF(K74&lt;'Dashboard'!$B$4,"Action overdue","Open action"))))))</x:f>
      </x:c>
      <x:c r="O74" s="6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 ht="23" customHeight="1">
      <x:c r="A75" s="6"/>
      <x:c r="B75" s="6"/>
      <x:c r="C75" s="6"/>
      <x:c r="D75" s="6"/>
      <x:c r="E75" s="6"/>
      <x:c r="F75" s="6"/>
      <x:c r="G75" s="6"/>
      <x:c r="H75" s="7"/>
      <x:c r="I75" s="6"/>
      <x:c r="J75" s="6"/>
      <x:c r="K75" s="7"/>
      <x:c r="L75" s="7"/>
      <x:c r="M75" s="6"/>
      <x:c r="N75" s="9" t="str">
        <x:f>IF(A75="","",IF(COUNTIFS($A$6:$A$205,A75)&gt;1,"Duplicate issue ID",IF(I75="Resolved",IF(OR(L75="",M75=""),"Resolution evidence gap","Resolved"),IF(G75="","Unassigned",IF(OR(I75="",H75="",F75="",J75="",K75=""),"Missing action / evidence",IF(K75&lt;'Dashboard'!$B$4,"Action overdue","Open action"))))))</x:f>
      </x:c>
      <x:c r="O75" s="6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 ht="23" customHeight="1">
      <x:c r="A76" s="6"/>
      <x:c r="B76" s="6"/>
      <x:c r="C76" s="6"/>
      <x:c r="D76" s="6"/>
      <x:c r="E76" s="6"/>
      <x:c r="F76" s="6"/>
      <x:c r="G76" s="6"/>
      <x:c r="H76" s="7"/>
      <x:c r="I76" s="6"/>
      <x:c r="J76" s="6"/>
      <x:c r="K76" s="7"/>
      <x:c r="L76" s="7"/>
      <x:c r="M76" s="6"/>
      <x:c r="N76" s="9" t="str">
        <x:f>IF(A76="","",IF(COUNTIFS($A$6:$A$205,A76)&gt;1,"Duplicate issue ID",IF(I76="Resolved",IF(OR(L76="",M76=""),"Resolution evidence gap","Resolved"),IF(G76="","Unassigned",IF(OR(I76="",H76="",F76="",J76="",K76=""),"Missing action / evidence",IF(K76&lt;'Dashboard'!$B$4,"Action overdue","Open action"))))))</x:f>
      </x:c>
      <x:c r="O76" s="6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 ht="23" customHeight="1">
      <x:c r="A77" s="6"/>
      <x:c r="B77" s="6"/>
      <x:c r="C77" s="6"/>
      <x:c r="D77" s="6"/>
      <x:c r="E77" s="6"/>
      <x:c r="F77" s="6"/>
      <x:c r="G77" s="6"/>
      <x:c r="H77" s="7"/>
      <x:c r="I77" s="6"/>
      <x:c r="J77" s="6"/>
      <x:c r="K77" s="7"/>
      <x:c r="L77" s="7"/>
      <x:c r="M77" s="6"/>
      <x:c r="N77" s="9" t="str">
        <x:f>IF(A77="","",IF(COUNTIFS($A$6:$A$205,A77)&gt;1,"Duplicate issue ID",IF(I77="Resolved",IF(OR(L77="",M77=""),"Resolution evidence gap","Resolved"),IF(G77="","Unassigned",IF(OR(I77="",H77="",F77="",J77="",K77=""),"Missing action / evidence",IF(K77&lt;'Dashboard'!$B$4,"Action overdue","Open action"))))))</x:f>
      </x:c>
      <x:c r="O77" s="6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 ht="23" customHeight="1">
      <x:c r="A78" s="6"/>
      <x:c r="B78" s="6"/>
      <x:c r="C78" s="6"/>
      <x:c r="D78" s="6"/>
      <x:c r="E78" s="6"/>
      <x:c r="F78" s="6"/>
      <x:c r="G78" s="6"/>
      <x:c r="H78" s="7"/>
      <x:c r="I78" s="6"/>
      <x:c r="J78" s="6"/>
      <x:c r="K78" s="7"/>
      <x:c r="L78" s="7"/>
      <x:c r="M78" s="6"/>
      <x:c r="N78" s="9" t="str">
        <x:f>IF(A78="","",IF(COUNTIFS($A$6:$A$205,A78)&gt;1,"Duplicate issue ID",IF(I78="Resolved",IF(OR(L78="",M78=""),"Resolution evidence gap","Resolved"),IF(G78="","Unassigned",IF(OR(I78="",H78="",F78="",J78="",K78=""),"Missing action / evidence",IF(K78&lt;'Dashboard'!$B$4,"Action overdue","Open action"))))))</x:f>
      </x:c>
      <x:c r="O78" s="6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 ht="23" customHeight="1">
      <x:c r="A79" s="6"/>
      <x:c r="B79" s="6"/>
      <x:c r="C79" s="6"/>
      <x:c r="D79" s="6"/>
      <x:c r="E79" s="6"/>
      <x:c r="F79" s="6"/>
      <x:c r="G79" s="6"/>
      <x:c r="H79" s="7"/>
      <x:c r="I79" s="6"/>
      <x:c r="J79" s="6"/>
      <x:c r="K79" s="7"/>
      <x:c r="L79" s="7"/>
      <x:c r="M79" s="6"/>
      <x:c r="N79" s="9" t="str">
        <x:f>IF(A79="","",IF(COUNTIFS($A$6:$A$205,A79)&gt;1,"Duplicate issue ID",IF(I79="Resolved",IF(OR(L79="",M79=""),"Resolution evidence gap","Resolved"),IF(G79="","Unassigned",IF(OR(I79="",H79="",F79="",J79="",K79=""),"Missing action / evidence",IF(K79&lt;'Dashboard'!$B$4,"Action overdue","Open action"))))))</x:f>
      </x:c>
      <x:c r="O79" s="6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 ht="23" customHeight="1">
      <x:c r="A80" s="6"/>
      <x:c r="B80" s="6"/>
      <x:c r="C80" s="6"/>
      <x:c r="D80" s="6"/>
      <x:c r="E80" s="6"/>
      <x:c r="F80" s="6"/>
      <x:c r="G80" s="6"/>
      <x:c r="H80" s="7"/>
      <x:c r="I80" s="6"/>
      <x:c r="J80" s="6"/>
      <x:c r="K80" s="7"/>
      <x:c r="L80" s="7"/>
      <x:c r="M80" s="6"/>
      <x:c r="N80" s="9" t="str">
        <x:f>IF(A80="","",IF(COUNTIFS($A$6:$A$205,A80)&gt;1,"Duplicate issue ID",IF(I80="Resolved",IF(OR(L80="",M80=""),"Resolution evidence gap","Resolved"),IF(G80="","Unassigned",IF(OR(I80="",H80="",F80="",J80="",K80=""),"Missing action / evidence",IF(K80&lt;'Dashboard'!$B$4,"Action overdue","Open action"))))))</x:f>
      </x:c>
      <x:c r="O80" s="6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 ht="23" customHeight="1">
      <x:c r="A81" s="6"/>
      <x:c r="B81" s="6"/>
      <x:c r="C81" s="6"/>
      <x:c r="D81" s="6"/>
      <x:c r="E81" s="6"/>
      <x:c r="F81" s="6"/>
      <x:c r="G81" s="6"/>
      <x:c r="H81" s="7"/>
      <x:c r="I81" s="6"/>
      <x:c r="J81" s="6"/>
      <x:c r="K81" s="7"/>
      <x:c r="L81" s="7"/>
      <x:c r="M81" s="6"/>
      <x:c r="N81" s="9" t="str">
        <x:f>IF(A81="","",IF(COUNTIFS($A$6:$A$205,A81)&gt;1,"Duplicate issue ID",IF(I81="Resolved",IF(OR(L81="",M81=""),"Resolution evidence gap","Resolved"),IF(G81="","Unassigned",IF(OR(I81="",H81="",F81="",J81="",K81=""),"Missing action / evidence",IF(K81&lt;'Dashboard'!$B$4,"Action overdue","Open action"))))))</x:f>
      </x:c>
      <x:c r="O81" s="6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 ht="23" customHeight="1">
      <x:c r="A82" s="6"/>
      <x:c r="B82" s="6"/>
      <x:c r="C82" s="6"/>
      <x:c r="D82" s="6"/>
      <x:c r="E82" s="6"/>
      <x:c r="F82" s="6"/>
      <x:c r="G82" s="6"/>
      <x:c r="H82" s="7"/>
      <x:c r="I82" s="6"/>
      <x:c r="J82" s="6"/>
      <x:c r="K82" s="7"/>
      <x:c r="L82" s="7"/>
      <x:c r="M82" s="6"/>
      <x:c r="N82" s="9" t="str">
        <x:f>IF(A82="","",IF(COUNTIFS($A$6:$A$205,A82)&gt;1,"Duplicate issue ID",IF(I82="Resolved",IF(OR(L82="",M82=""),"Resolution evidence gap","Resolved"),IF(G82="","Unassigned",IF(OR(I82="",H82="",F82="",J82="",K82=""),"Missing action / evidence",IF(K82&lt;'Dashboard'!$B$4,"Action overdue","Open action"))))))</x:f>
      </x:c>
      <x:c r="O82" s="6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 ht="23" customHeight="1">
      <x:c r="A83" s="6"/>
      <x:c r="B83" s="6"/>
      <x:c r="C83" s="6"/>
      <x:c r="D83" s="6"/>
      <x:c r="E83" s="6"/>
      <x:c r="F83" s="6"/>
      <x:c r="G83" s="6"/>
      <x:c r="H83" s="7"/>
      <x:c r="I83" s="6"/>
      <x:c r="J83" s="6"/>
      <x:c r="K83" s="7"/>
      <x:c r="L83" s="7"/>
      <x:c r="M83" s="6"/>
      <x:c r="N83" s="9" t="str">
        <x:f>IF(A83="","",IF(COUNTIFS($A$6:$A$205,A83)&gt;1,"Duplicate issue ID",IF(I83="Resolved",IF(OR(L83="",M83=""),"Resolution evidence gap","Resolved"),IF(G83="","Unassigned",IF(OR(I83="",H83="",F83="",J83="",K83=""),"Missing action / evidence",IF(K83&lt;'Dashboard'!$B$4,"Action overdue","Open action"))))))</x:f>
      </x:c>
      <x:c r="O83" s="6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 ht="23" customHeight="1">
      <x:c r="A84" s="6"/>
      <x:c r="B84" s="6"/>
      <x:c r="C84" s="6"/>
      <x:c r="D84" s="6"/>
      <x:c r="E84" s="6"/>
      <x:c r="F84" s="6"/>
      <x:c r="G84" s="6"/>
      <x:c r="H84" s="7"/>
      <x:c r="I84" s="6"/>
      <x:c r="J84" s="6"/>
      <x:c r="K84" s="7"/>
      <x:c r="L84" s="7"/>
      <x:c r="M84" s="6"/>
      <x:c r="N84" s="9" t="str">
        <x:f>IF(A84="","",IF(COUNTIFS($A$6:$A$205,A84)&gt;1,"Duplicate issue ID",IF(I84="Resolved",IF(OR(L84="",M84=""),"Resolution evidence gap","Resolved"),IF(G84="","Unassigned",IF(OR(I84="",H84="",F84="",J84="",K84=""),"Missing action / evidence",IF(K84&lt;'Dashboard'!$B$4,"Action overdue","Open action"))))))</x:f>
      </x:c>
      <x:c r="O84" s="6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 ht="23" customHeight="1">
      <x:c r="A85" s="6"/>
      <x:c r="B85" s="6"/>
      <x:c r="C85" s="6"/>
      <x:c r="D85" s="6"/>
      <x:c r="E85" s="6"/>
      <x:c r="F85" s="6"/>
      <x:c r="G85" s="6"/>
      <x:c r="H85" s="7"/>
      <x:c r="I85" s="6"/>
      <x:c r="J85" s="6"/>
      <x:c r="K85" s="7"/>
      <x:c r="L85" s="7"/>
      <x:c r="M85" s="6"/>
      <x:c r="N85" s="9" t="str">
        <x:f>IF(A85="","",IF(COUNTIFS($A$6:$A$205,A85)&gt;1,"Duplicate issue ID",IF(I85="Resolved",IF(OR(L85="",M85=""),"Resolution evidence gap","Resolved"),IF(G85="","Unassigned",IF(OR(I85="",H85="",F85="",J85="",K85=""),"Missing action / evidence",IF(K85&lt;'Dashboard'!$B$4,"Action overdue","Open action"))))))</x:f>
      </x:c>
      <x:c r="O85" s="6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 ht="23" customHeight="1">
      <x:c r="A86" s="6"/>
      <x:c r="B86" s="6"/>
      <x:c r="C86" s="6"/>
      <x:c r="D86" s="6"/>
      <x:c r="E86" s="6"/>
      <x:c r="F86" s="6"/>
      <x:c r="G86" s="6"/>
      <x:c r="H86" s="7"/>
      <x:c r="I86" s="6"/>
      <x:c r="J86" s="6"/>
      <x:c r="K86" s="7"/>
      <x:c r="L86" s="7"/>
      <x:c r="M86" s="6"/>
      <x:c r="N86" s="9" t="str">
        <x:f>IF(A86="","",IF(COUNTIFS($A$6:$A$205,A86)&gt;1,"Duplicate issue ID",IF(I86="Resolved",IF(OR(L86="",M86=""),"Resolution evidence gap","Resolved"),IF(G86="","Unassigned",IF(OR(I86="",H86="",F86="",J86="",K86=""),"Missing action / evidence",IF(K86&lt;'Dashboard'!$B$4,"Action overdue","Open action"))))))</x:f>
      </x:c>
      <x:c r="O86" s="6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 ht="23" customHeight="1">
      <x:c r="A87" s="6"/>
      <x:c r="B87" s="6"/>
      <x:c r="C87" s="6"/>
      <x:c r="D87" s="6"/>
      <x:c r="E87" s="6"/>
      <x:c r="F87" s="6"/>
      <x:c r="G87" s="6"/>
      <x:c r="H87" s="7"/>
      <x:c r="I87" s="6"/>
      <x:c r="J87" s="6"/>
      <x:c r="K87" s="7"/>
      <x:c r="L87" s="7"/>
      <x:c r="M87" s="6"/>
      <x:c r="N87" s="9" t="str">
        <x:f>IF(A87="","",IF(COUNTIFS($A$6:$A$205,A87)&gt;1,"Duplicate issue ID",IF(I87="Resolved",IF(OR(L87="",M87=""),"Resolution evidence gap","Resolved"),IF(G87="","Unassigned",IF(OR(I87="",H87="",F87="",J87="",K87=""),"Missing action / evidence",IF(K87&lt;'Dashboard'!$B$4,"Action overdue","Open action"))))))</x:f>
      </x:c>
      <x:c r="O87" s="6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 ht="23" customHeight="1">
      <x:c r="A88" s="6"/>
      <x:c r="B88" s="6"/>
      <x:c r="C88" s="6"/>
      <x:c r="D88" s="6"/>
      <x:c r="E88" s="6"/>
      <x:c r="F88" s="6"/>
      <x:c r="G88" s="6"/>
      <x:c r="H88" s="7"/>
      <x:c r="I88" s="6"/>
      <x:c r="J88" s="6"/>
      <x:c r="K88" s="7"/>
      <x:c r="L88" s="7"/>
      <x:c r="M88" s="6"/>
      <x:c r="N88" s="9" t="str">
        <x:f>IF(A88="","",IF(COUNTIFS($A$6:$A$205,A88)&gt;1,"Duplicate issue ID",IF(I88="Resolved",IF(OR(L88="",M88=""),"Resolution evidence gap","Resolved"),IF(G88="","Unassigned",IF(OR(I88="",H88="",F88="",J88="",K88=""),"Missing action / evidence",IF(K88&lt;'Dashboard'!$B$4,"Action overdue","Open action"))))))</x:f>
      </x:c>
      <x:c r="O88" s="6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 ht="23" customHeight="1">
      <x:c r="A89" s="6"/>
      <x:c r="B89" s="6"/>
      <x:c r="C89" s="6"/>
      <x:c r="D89" s="6"/>
      <x:c r="E89" s="6"/>
      <x:c r="F89" s="6"/>
      <x:c r="G89" s="6"/>
      <x:c r="H89" s="7"/>
      <x:c r="I89" s="6"/>
      <x:c r="J89" s="6"/>
      <x:c r="K89" s="7"/>
      <x:c r="L89" s="7"/>
      <x:c r="M89" s="6"/>
      <x:c r="N89" s="9" t="str">
        <x:f>IF(A89="","",IF(COUNTIFS($A$6:$A$205,A89)&gt;1,"Duplicate issue ID",IF(I89="Resolved",IF(OR(L89="",M89=""),"Resolution evidence gap","Resolved"),IF(G89="","Unassigned",IF(OR(I89="",H89="",F89="",J89="",K89=""),"Missing action / evidence",IF(K89&lt;'Dashboard'!$B$4,"Action overdue","Open action"))))))</x:f>
      </x:c>
      <x:c r="O89" s="6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 ht="23" customHeight="1">
      <x:c r="A90" s="6"/>
      <x:c r="B90" s="6"/>
      <x:c r="C90" s="6"/>
      <x:c r="D90" s="6"/>
      <x:c r="E90" s="6"/>
      <x:c r="F90" s="6"/>
      <x:c r="G90" s="6"/>
      <x:c r="H90" s="7"/>
      <x:c r="I90" s="6"/>
      <x:c r="J90" s="6"/>
      <x:c r="K90" s="7"/>
      <x:c r="L90" s="7"/>
      <x:c r="M90" s="6"/>
      <x:c r="N90" s="9" t="str">
        <x:f>IF(A90="","",IF(COUNTIFS($A$6:$A$205,A90)&gt;1,"Duplicate issue ID",IF(I90="Resolved",IF(OR(L90="",M90=""),"Resolution evidence gap","Resolved"),IF(G90="","Unassigned",IF(OR(I90="",H90="",F90="",J90="",K90=""),"Missing action / evidence",IF(K90&lt;'Dashboard'!$B$4,"Action overdue","Open action"))))))</x:f>
      </x:c>
      <x:c r="O90" s="6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 ht="23" customHeight="1">
      <x:c r="A91" s="6"/>
      <x:c r="B91" s="6"/>
      <x:c r="C91" s="6"/>
      <x:c r="D91" s="6"/>
      <x:c r="E91" s="6"/>
      <x:c r="F91" s="6"/>
      <x:c r="G91" s="6"/>
      <x:c r="H91" s="7"/>
      <x:c r="I91" s="6"/>
      <x:c r="J91" s="6"/>
      <x:c r="K91" s="7"/>
      <x:c r="L91" s="7"/>
      <x:c r="M91" s="6"/>
      <x:c r="N91" s="9" t="str">
        <x:f>IF(A91="","",IF(COUNTIFS($A$6:$A$205,A91)&gt;1,"Duplicate issue ID",IF(I91="Resolved",IF(OR(L91="",M91=""),"Resolution evidence gap","Resolved"),IF(G91="","Unassigned",IF(OR(I91="",H91="",F91="",J91="",K91=""),"Missing action / evidence",IF(K91&lt;'Dashboard'!$B$4,"Action overdue","Open action"))))))</x:f>
      </x:c>
      <x:c r="O91" s="6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 ht="23" customHeight="1">
      <x:c r="A92" s="6"/>
      <x:c r="B92" s="6"/>
      <x:c r="C92" s="6"/>
      <x:c r="D92" s="6"/>
      <x:c r="E92" s="6"/>
      <x:c r="F92" s="6"/>
      <x:c r="G92" s="6"/>
      <x:c r="H92" s="7"/>
      <x:c r="I92" s="6"/>
      <x:c r="J92" s="6"/>
      <x:c r="K92" s="7"/>
      <x:c r="L92" s="7"/>
      <x:c r="M92" s="6"/>
      <x:c r="N92" s="9" t="str">
        <x:f>IF(A92="","",IF(COUNTIFS($A$6:$A$205,A92)&gt;1,"Duplicate issue ID",IF(I92="Resolved",IF(OR(L92="",M92=""),"Resolution evidence gap","Resolved"),IF(G92="","Unassigned",IF(OR(I92="",H92="",F92="",J92="",K92=""),"Missing action / evidence",IF(K92&lt;'Dashboard'!$B$4,"Action overdue","Open action"))))))</x:f>
      </x:c>
      <x:c r="O92" s="6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 ht="23" customHeight="1">
      <x:c r="A93" s="6"/>
      <x:c r="B93" s="6"/>
      <x:c r="C93" s="6"/>
      <x:c r="D93" s="6"/>
      <x:c r="E93" s="6"/>
      <x:c r="F93" s="6"/>
      <x:c r="G93" s="6"/>
      <x:c r="H93" s="7"/>
      <x:c r="I93" s="6"/>
      <x:c r="J93" s="6"/>
      <x:c r="K93" s="7"/>
      <x:c r="L93" s="7"/>
      <x:c r="M93" s="6"/>
      <x:c r="N93" s="9" t="str">
        <x:f>IF(A93="","",IF(COUNTIFS($A$6:$A$205,A93)&gt;1,"Duplicate issue ID",IF(I93="Resolved",IF(OR(L93="",M93=""),"Resolution evidence gap","Resolved"),IF(G93="","Unassigned",IF(OR(I93="",H93="",F93="",J93="",K93=""),"Missing action / evidence",IF(K93&lt;'Dashboard'!$B$4,"Action overdue","Open action"))))))</x:f>
      </x:c>
      <x:c r="O93" s="6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 ht="23" customHeight="1">
      <x:c r="A94" s="6"/>
      <x:c r="B94" s="6"/>
      <x:c r="C94" s="6"/>
      <x:c r="D94" s="6"/>
      <x:c r="E94" s="6"/>
      <x:c r="F94" s="6"/>
      <x:c r="G94" s="6"/>
      <x:c r="H94" s="7"/>
      <x:c r="I94" s="6"/>
      <x:c r="J94" s="6"/>
      <x:c r="K94" s="7"/>
      <x:c r="L94" s="7"/>
      <x:c r="M94" s="6"/>
      <x:c r="N94" s="9" t="str">
        <x:f>IF(A94="","",IF(COUNTIFS($A$6:$A$205,A94)&gt;1,"Duplicate issue ID",IF(I94="Resolved",IF(OR(L94="",M94=""),"Resolution evidence gap","Resolved"),IF(G94="","Unassigned",IF(OR(I94="",H94="",F94="",J94="",K94=""),"Missing action / evidence",IF(K94&lt;'Dashboard'!$B$4,"Action overdue","Open action"))))))</x:f>
      </x:c>
      <x:c r="O94" s="6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 ht="23" customHeight="1">
      <x:c r="A95" s="6"/>
      <x:c r="B95" s="6"/>
      <x:c r="C95" s="6"/>
      <x:c r="D95" s="6"/>
      <x:c r="E95" s="6"/>
      <x:c r="F95" s="6"/>
      <x:c r="G95" s="6"/>
      <x:c r="H95" s="7"/>
      <x:c r="I95" s="6"/>
      <x:c r="J95" s="6"/>
      <x:c r="K95" s="7"/>
      <x:c r="L95" s="7"/>
      <x:c r="M95" s="6"/>
      <x:c r="N95" s="9" t="str">
        <x:f>IF(A95="","",IF(COUNTIFS($A$6:$A$205,A95)&gt;1,"Duplicate issue ID",IF(I95="Resolved",IF(OR(L95="",M95=""),"Resolution evidence gap","Resolved"),IF(G95="","Unassigned",IF(OR(I95="",H95="",F95="",J95="",K95=""),"Missing action / evidence",IF(K95&lt;'Dashboard'!$B$4,"Action overdue","Open action"))))))</x:f>
      </x:c>
      <x:c r="O95" s="6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 ht="23" customHeight="1">
      <x:c r="A96" s="6"/>
      <x:c r="B96" s="6"/>
      <x:c r="C96" s="6"/>
      <x:c r="D96" s="6"/>
      <x:c r="E96" s="6"/>
      <x:c r="F96" s="6"/>
      <x:c r="G96" s="6"/>
      <x:c r="H96" s="7"/>
      <x:c r="I96" s="6"/>
      <x:c r="J96" s="6"/>
      <x:c r="K96" s="7"/>
      <x:c r="L96" s="7"/>
      <x:c r="M96" s="6"/>
      <x:c r="N96" s="9" t="str">
        <x:f>IF(A96="","",IF(COUNTIFS($A$6:$A$205,A96)&gt;1,"Duplicate issue ID",IF(I96="Resolved",IF(OR(L96="",M96=""),"Resolution evidence gap","Resolved"),IF(G96="","Unassigned",IF(OR(I96="",H96="",F96="",J96="",K96=""),"Missing action / evidence",IF(K96&lt;'Dashboard'!$B$4,"Action overdue","Open action"))))))</x:f>
      </x:c>
      <x:c r="O96" s="6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 ht="23" customHeight="1">
      <x:c r="A97" s="6"/>
      <x:c r="B97" s="6"/>
      <x:c r="C97" s="6"/>
      <x:c r="D97" s="6"/>
      <x:c r="E97" s="6"/>
      <x:c r="F97" s="6"/>
      <x:c r="G97" s="6"/>
      <x:c r="H97" s="7"/>
      <x:c r="I97" s="6"/>
      <x:c r="J97" s="6"/>
      <x:c r="K97" s="7"/>
      <x:c r="L97" s="7"/>
      <x:c r="M97" s="6"/>
      <x:c r="N97" s="9" t="str">
        <x:f>IF(A97="","",IF(COUNTIFS($A$6:$A$205,A97)&gt;1,"Duplicate issue ID",IF(I97="Resolved",IF(OR(L97="",M97=""),"Resolution evidence gap","Resolved"),IF(G97="","Unassigned",IF(OR(I97="",H97="",F97="",J97="",K97=""),"Missing action / evidence",IF(K97&lt;'Dashboard'!$B$4,"Action overdue","Open action"))))))</x:f>
      </x:c>
      <x:c r="O97" s="6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 ht="23" customHeight="1">
      <x:c r="A98" s="6"/>
      <x:c r="B98" s="6"/>
      <x:c r="C98" s="6"/>
      <x:c r="D98" s="6"/>
      <x:c r="E98" s="6"/>
      <x:c r="F98" s="6"/>
      <x:c r="G98" s="6"/>
      <x:c r="H98" s="7"/>
      <x:c r="I98" s="6"/>
      <x:c r="J98" s="6"/>
      <x:c r="K98" s="7"/>
      <x:c r="L98" s="7"/>
      <x:c r="M98" s="6"/>
      <x:c r="N98" s="9" t="str">
        <x:f>IF(A98="","",IF(COUNTIFS($A$6:$A$205,A98)&gt;1,"Duplicate issue ID",IF(I98="Resolved",IF(OR(L98="",M98=""),"Resolution evidence gap","Resolved"),IF(G98="","Unassigned",IF(OR(I98="",H98="",F98="",J98="",K98=""),"Missing action / evidence",IF(K98&lt;'Dashboard'!$B$4,"Action overdue","Open action"))))))</x:f>
      </x:c>
      <x:c r="O98" s="6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 ht="23" customHeight="1">
      <x:c r="A99" s="6"/>
      <x:c r="B99" s="6"/>
      <x:c r="C99" s="6"/>
      <x:c r="D99" s="6"/>
      <x:c r="E99" s="6"/>
      <x:c r="F99" s="6"/>
      <x:c r="G99" s="6"/>
      <x:c r="H99" s="7"/>
      <x:c r="I99" s="6"/>
      <x:c r="J99" s="6"/>
      <x:c r="K99" s="7"/>
      <x:c r="L99" s="7"/>
      <x:c r="M99" s="6"/>
      <x:c r="N99" s="9" t="str">
        <x:f>IF(A99="","",IF(COUNTIFS($A$6:$A$205,A99)&gt;1,"Duplicate issue ID",IF(I99="Resolved",IF(OR(L99="",M99=""),"Resolution evidence gap","Resolved"),IF(G99="","Unassigned",IF(OR(I99="",H99="",F99="",J99="",K99=""),"Missing action / evidence",IF(K99&lt;'Dashboard'!$B$4,"Action overdue","Open action"))))))</x:f>
      </x:c>
      <x:c r="O99" s="6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 ht="23" customHeight="1">
      <x:c r="A100" s="6"/>
      <x:c r="B100" s="6"/>
      <x:c r="C100" s="6"/>
      <x:c r="D100" s="6"/>
      <x:c r="E100" s="6"/>
      <x:c r="F100" s="6"/>
      <x:c r="G100" s="6"/>
      <x:c r="H100" s="7"/>
      <x:c r="I100" s="6"/>
      <x:c r="J100" s="6"/>
      <x:c r="K100" s="7"/>
      <x:c r="L100" s="7"/>
      <x:c r="M100" s="6"/>
      <x:c r="N100" s="9" t="str">
        <x:f>IF(A100="","",IF(COUNTIFS($A$6:$A$205,A100)&gt;1,"Duplicate issue ID",IF(I100="Resolved",IF(OR(L100="",M100=""),"Resolution evidence gap","Resolved"),IF(G100="","Unassigned",IF(OR(I100="",H100="",F100="",J100="",K100=""),"Missing action / evidence",IF(K100&lt;'Dashboard'!$B$4,"Action overdue","Open action"))))))</x:f>
      </x:c>
      <x:c r="O100" s="6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 ht="23" customHeight="1">
      <x:c r="A101" s="6"/>
      <x:c r="B101" s="6"/>
      <x:c r="C101" s="6"/>
      <x:c r="D101" s="6"/>
      <x:c r="E101" s="6"/>
      <x:c r="F101" s="6"/>
      <x:c r="G101" s="6"/>
      <x:c r="H101" s="7"/>
      <x:c r="I101" s="6"/>
      <x:c r="J101" s="6"/>
      <x:c r="K101" s="7"/>
      <x:c r="L101" s="7"/>
      <x:c r="M101" s="6"/>
      <x:c r="N101" s="9" t="str">
        <x:f>IF(A101="","",IF(COUNTIFS($A$6:$A$205,A101)&gt;1,"Duplicate issue ID",IF(I101="Resolved",IF(OR(L101="",M101=""),"Resolution evidence gap","Resolved"),IF(G101="","Unassigned",IF(OR(I101="",H101="",F101="",J101="",K101=""),"Missing action / evidence",IF(K101&lt;'Dashboard'!$B$4,"Action overdue","Open action"))))))</x:f>
      </x:c>
      <x:c r="O101" s="6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 ht="23" customHeight="1">
      <x:c r="A102" s="6"/>
      <x:c r="B102" s="6"/>
      <x:c r="C102" s="6"/>
      <x:c r="D102" s="6"/>
      <x:c r="E102" s="6"/>
      <x:c r="F102" s="6"/>
      <x:c r="G102" s="6"/>
      <x:c r="H102" s="7"/>
      <x:c r="I102" s="6"/>
      <x:c r="J102" s="6"/>
      <x:c r="K102" s="7"/>
      <x:c r="L102" s="7"/>
      <x:c r="M102" s="6"/>
      <x:c r="N102" s="9" t="str">
        <x:f>IF(A102="","",IF(COUNTIFS($A$6:$A$205,A102)&gt;1,"Duplicate issue ID",IF(I102="Resolved",IF(OR(L102="",M102=""),"Resolution evidence gap","Resolved"),IF(G102="","Unassigned",IF(OR(I102="",H102="",F102="",J102="",K102=""),"Missing action / evidence",IF(K102&lt;'Dashboard'!$B$4,"Action overdue","Open action"))))))</x:f>
      </x:c>
      <x:c r="O102" s="6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 ht="23" customHeight="1">
      <x:c r="A103" s="6"/>
      <x:c r="B103" s="6"/>
      <x:c r="C103" s="6"/>
      <x:c r="D103" s="6"/>
      <x:c r="E103" s="6"/>
      <x:c r="F103" s="6"/>
      <x:c r="G103" s="6"/>
      <x:c r="H103" s="7"/>
      <x:c r="I103" s="6"/>
      <x:c r="J103" s="6"/>
      <x:c r="K103" s="7"/>
      <x:c r="L103" s="7"/>
      <x:c r="M103" s="6"/>
      <x:c r="N103" s="9" t="str">
        <x:f>IF(A103="","",IF(COUNTIFS($A$6:$A$205,A103)&gt;1,"Duplicate issue ID",IF(I103="Resolved",IF(OR(L103="",M103=""),"Resolution evidence gap","Resolved"),IF(G103="","Unassigned",IF(OR(I103="",H103="",F103="",J103="",K103=""),"Missing action / evidence",IF(K103&lt;'Dashboard'!$B$4,"Action overdue","Open action"))))))</x:f>
      </x:c>
      <x:c r="O103" s="6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 ht="23" customHeight="1">
      <x:c r="A104" s="6"/>
      <x:c r="B104" s="6"/>
      <x:c r="C104" s="6"/>
      <x:c r="D104" s="6"/>
      <x:c r="E104" s="6"/>
      <x:c r="F104" s="6"/>
      <x:c r="G104" s="6"/>
      <x:c r="H104" s="7"/>
      <x:c r="I104" s="6"/>
      <x:c r="J104" s="6"/>
      <x:c r="K104" s="7"/>
      <x:c r="L104" s="7"/>
      <x:c r="M104" s="6"/>
      <x:c r="N104" s="9" t="str">
        <x:f>IF(A104="","",IF(COUNTIFS($A$6:$A$205,A104)&gt;1,"Duplicate issue ID",IF(I104="Resolved",IF(OR(L104="",M104=""),"Resolution evidence gap","Resolved"),IF(G104="","Unassigned",IF(OR(I104="",H104="",F104="",J104="",K104=""),"Missing action / evidence",IF(K104&lt;'Dashboard'!$B$4,"Action overdue","Open action"))))))</x:f>
      </x:c>
      <x:c r="O104" s="6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 ht="23" customHeight="1">
      <x:c r="A105" s="6"/>
      <x:c r="B105" s="6"/>
      <x:c r="C105" s="6"/>
      <x:c r="D105" s="6"/>
      <x:c r="E105" s="6"/>
      <x:c r="F105" s="6"/>
      <x:c r="G105" s="6"/>
      <x:c r="H105" s="7"/>
      <x:c r="I105" s="6"/>
      <x:c r="J105" s="6"/>
      <x:c r="K105" s="7"/>
      <x:c r="L105" s="7"/>
      <x:c r="M105" s="6"/>
      <x:c r="N105" s="9" t="str">
        <x:f>IF(A105="","",IF(COUNTIFS($A$6:$A$205,A105)&gt;1,"Duplicate issue ID",IF(I105="Resolved",IF(OR(L105="",M105=""),"Resolution evidence gap","Resolved"),IF(G105="","Unassigned",IF(OR(I105="",H105="",F105="",J105="",K105=""),"Missing action / evidence",IF(K105&lt;'Dashboard'!$B$4,"Action overdue","Open action"))))))</x:f>
      </x:c>
      <x:c r="O105" s="6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 ht="23" customHeight="1">
      <x:c r="A106" s="6"/>
      <x:c r="B106" s="6"/>
      <x:c r="C106" s="6"/>
      <x:c r="D106" s="6"/>
      <x:c r="E106" s="6"/>
      <x:c r="F106" s="6"/>
      <x:c r="G106" s="6"/>
      <x:c r="H106" s="7"/>
      <x:c r="I106" s="6"/>
      <x:c r="J106" s="6"/>
      <x:c r="K106" s="7"/>
      <x:c r="L106" s="7"/>
      <x:c r="M106" s="6"/>
      <x:c r="N106" s="9" t="str">
        <x:f>IF(A106="","",IF(COUNTIFS($A$6:$A$205,A106)&gt;1,"Duplicate issue ID",IF(I106="Resolved",IF(OR(L106="",M106=""),"Resolution evidence gap","Resolved"),IF(G106="","Unassigned",IF(OR(I106="",H106="",F106="",J106="",K106=""),"Missing action / evidence",IF(K106&lt;'Dashboard'!$B$4,"Action overdue","Open action"))))))</x:f>
      </x:c>
      <x:c r="O106" s="6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 ht="23" customHeight="1">
      <x:c r="A107" s="6"/>
      <x:c r="B107" s="6"/>
      <x:c r="C107" s="6"/>
      <x:c r="D107" s="6"/>
      <x:c r="E107" s="6"/>
      <x:c r="F107" s="6"/>
      <x:c r="G107" s="6"/>
      <x:c r="H107" s="7"/>
      <x:c r="I107" s="6"/>
      <x:c r="J107" s="6"/>
      <x:c r="K107" s="7"/>
      <x:c r="L107" s="7"/>
      <x:c r="M107" s="6"/>
      <x:c r="N107" s="9" t="str">
        <x:f>IF(A107="","",IF(COUNTIFS($A$6:$A$205,A107)&gt;1,"Duplicate issue ID",IF(I107="Resolved",IF(OR(L107="",M107=""),"Resolution evidence gap","Resolved"),IF(G107="","Unassigned",IF(OR(I107="",H107="",F107="",J107="",K107=""),"Missing action / evidence",IF(K107&lt;'Dashboard'!$B$4,"Action overdue","Open action"))))))</x:f>
      </x:c>
      <x:c r="O107" s="6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 ht="23" customHeight="1">
      <x:c r="A108" s="6"/>
      <x:c r="B108" s="6"/>
      <x:c r="C108" s="6"/>
      <x:c r="D108" s="6"/>
      <x:c r="E108" s="6"/>
      <x:c r="F108" s="6"/>
      <x:c r="G108" s="6"/>
      <x:c r="H108" s="7"/>
      <x:c r="I108" s="6"/>
      <x:c r="J108" s="6"/>
      <x:c r="K108" s="7"/>
      <x:c r="L108" s="7"/>
      <x:c r="M108" s="6"/>
      <x:c r="N108" s="9" t="str">
        <x:f>IF(A108="","",IF(COUNTIFS($A$6:$A$205,A108)&gt;1,"Duplicate issue ID",IF(I108="Resolved",IF(OR(L108="",M108=""),"Resolution evidence gap","Resolved"),IF(G108="","Unassigned",IF(OR(I108="",H108="",F108="",J108="",K108=""),"Missing action / evidence",IF(K108&lt;'Dashboard'!$B$4,"Action overdue","Open action"))))))</x:f>
      </x:c>
      <x:c r="O108" s="6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 ht="23" customHeight="1">
      <x:c r="A109" s="6"/>
      <x:c r="B109" s="6"/>
      <x:c r="C109" s="6"/>
      <x:c r="D109" s="6"/>
      <x:c r="E109" s="6"/>
      <x:c r="F109" s="6"/>
      <x:c r="G109" s="6"/>
      <x:c r="H109" s="7"/>
      <x:c r="I109" s="6"/>
      <x:c r="J109" s="6"/>
      <x:c r="K109" s="7"/>
      <x:c r="L109" s="7"/>
      <x:c r="M109" s="6"/>
      <x:c r="N109" s="9" t="str">
        <x:f>IF(A109="","",IF(COUNTIFS($A$6:$A$205,A109)&gt;1,"Duplicate issue ID",IF(I109="Resolved",IF(OR(L109="",M109=""),"Resolution evidence gap","Resolved"),IF(G109="","Unassigned",IF(OR(I109="",H109="",F109="",J109="",K109=""),"Missing action / evidence",IF(K109&lt;'Dashboard'!$B$4,"Action overdue","Open action"))))))</x:f>
      </x:c>
      <x:c r="O109" s="6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 ht="23" customHeight="1">
      <x:c r="A110" s="6"/>
      <x:c r="B110" s="6"/>
      <x:c r="C110" s="6"/>
      <x:c r="D110" s="6"/>
      <x:c r="E110" s="6"/>
      <x:c r="F110" s="6"/>
      <x:c r="G110" s="6"/>
      <x:c r="H110" s="7"/>
      <x:c r="I110" s="6"/>
      <x:c r="J110" s="6"/>
      <x:c r="K110" s="7"/>
      <x:c r="L110" s="7"/>
      <x:c r="M110" s="6"/>
      <x:c r="N110" s="9" t="str">
        <x:f>IF(A110="","",IF(COUNTIFS($A$6:$A$205,A110)&gt;1,"Duplicate issue ID",IF(I110="Resolved",IF(OR(L110="",M110=""),"Resolution evidence gap","Resolved"),IF(G110="","Unassigned",IF(OR(I110="",H110="",F110="",J110="",K110=""),"Missing action / evidence",IF(K110&lt;'Dashboard'!$B$4,"Action overdue","Open action"))))))</x:f>
      </x:c>
      <x:c r="O110" s="6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 ht="23" customHeight="1">
      <x:c r="A111" s="6"/>
      <x:c r="B111" s="6"/>
      <x:c r="C111" s="6"/>
      <x:c r="D111" s="6"/>
      <x:c r="E111" s="6"/>
      <x:c r="F111" s="6"/>
      <x:c r="G111" s="6"/>
      <x:c r="H111" s="7"/>
      <x:c r="I111" s="6"/>
      <x:c r="J111" s="6"/>
      <x:c r="K111" s="7"/>
      <x:c r="L111" s="7"/>
      <x:c r="M111" s="6"/>
      <x:c r="N111" s="9" t="str">
        <x:f>IF(A111="","",IF(COUNTIFS($A$6:$A$205,A111)&gt;1,"Duplicate issue ID",IF(I111="Resolved",IF(OR(L111="",M111=""),"Resolution evidence gap","Resolved"),IF(G111="","Unassigned",IF(OR(I111="",H111="",F111="",J111="",K111=""),"Missing action / evidence",IF(K111&lt;'Dashboard'!$B$4,"Action overdue","Open action"))))))</x:f>
      </x:c>
      <x:c r="O111" s="6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 ht="23" customHeight="1">
      <x:c r="A112" s="6"/>
      <x:c r="B112" s="6"/>
      <x:c r="C112" s="6"/>
      <x:c r="D112" s="6"/>
      <x:c r="E112" s="6"/>
      <x:c r="F112" s="6"/>
      <x:c r="G112" s="6"/>
      <x:c r="H112" s="7"/>
      <x:c r="I112" s="6"/>
      <x:c r="J112" s="6"/>
      <x:c r="K112" s="7"/>
      <x:c r="L112" s="7"/>
      <x:c r="M112" s="6"/>
      <x:c r="N112" s="9" t="str">
        <x:f>IF(A112="","",IF(COUNTIFS($A$6:$A$205,A112)&gt;1,"Duplicate issue ID",IF(I112="Resolved",IF(OR(L112="",M112=""),"Resolution evidence gap","Resolved"),IF(G112="","Unassigned",IF(OR(I112="",H112="",F112="",J112="",K112=""),"Missing action / evidence",IF(K112&lt;'Dashboard'!$B$4,"Action overdue","Open action"))))))</x:f>
      </x:c>
      <x:c r="O112" s="6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 ht="23" customHeight="1">
      <x:c r="A113" s="6"/>
      <x:c r="B113" s="6"/>
      <x:c r="C113" s="6"/>
      <x:c r="D113" s="6"/>
      <x:c r="E113" s="6"/>
      <x:c r="F113" s="6"/>
      <x:c r="G113" s="6"/>
      <x:c r="H113" s="7"/>
      <x:c r="I113" s="6"/>
      <x:c r="J113" s="6"/>
      <x:c r="K113" s="7"/>
      <x:c r="L113" s="7"/>
      <x:c r="M113" s="6"/>
      <x:c r="N113" s="9" t="str">
        <x:f>IF(A113="","",IF(COUNTIFS($A$6:$A$205,A113)&gt;1,"Duplicate issue ID",IF(I113="Resolved",IF(OR(L113="",M113=""),"Resolution evidence gap","Resolved"),IF(G113="","Unassigned",IF(OR(I113="",H113="",F113="",J113="",K113=""),"Missing action / evidence",IF(K113&lt;'Dashboard'!$B$4,"Action overdue","Open action"))))))</x:f>
      </x:c>
      <x:c r="O113" s="6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 ht="23" customHeight="1">
      <x:c r="A114" s="6"/>
      <x:c r="B114" s="6"/>
      <x:c r="C114" s="6"/>
      <x:c r="D114" s="6"/>
      <x:c r="E114" s="6"/>
      <x:c r="F114" s="6"/>
      <x:c r="G114" s="6"/>
      <x:c r="H114" s="7"/>
      <x:c r="I114" s="6"/>
      <x:c r="J114" s="6"/>
      <x:c r="K114" s="7"/>
      <x:c r="L114" s="7"/>
      <x:c r="M114" s="6"/>
      <x:c r="N114" s="9" t="str">
        <x:f>IF(A114="","",IF(COUNTIFS($A$6:$A$205,A114)&gt;1,"Duplicate issue ID",IF(I114="Resolved",IF(OR(L114="",M114=""),"Resolution evidence gap","Resolved"),IF(G114="","Unassigned",IF(OR(I114="",H114="",F114="",J114="",K114=""),"Missing action / evidence",IF(K114&lt;'Dashboard'!$B$4,"Action overdue","Open action"))))))</x:f>
      </x:c>
      <x:c r="O114" s="6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 ht="23" customHeight="1">
      <x:c r="A115" s="6"/>
      <x:c r="B115" s="6"/>
      <x:c r="C115" s="6"/>
      <x:c r="D115" s="6"/>
      <x:c r="E115" s="6"/>
      <x:c r="F115" s="6"/>
      <x:c r="G115" s="6"/>
      <x:c r="H115" s="7"/>
      <x:c r="I115" s="6"/>
      <x:c r="J115" s="6"/>
      <x:c r="K115" s="7"/>
      <x:c r="L115" s="7"/>
      <x:c r="M115" s="6"/>
      <x:c r="N115" s="9" t="str">
        <x:f>IF(A115="","",IF(COUNTIFS($A$6:$A$205,A115)&gt;1,"Duplicate issue ID",IF(I115="Resolved",IF(OR(L115="",M115=""),"Resolution evidence gap","Resolved"),IF(G115="","Unassigned",IF(OR(I115="",H115="",F115="",J115="",K115=""),"Missing action / evidence",IF(K115&lt;'Dashboard'!$B$4,"Action overdue","Open action"))))))</x:f>
      </x:c>
      <x:c r="O115" s="6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 ht="23" customHeight="1">
      <x:c r="A116" s="6"/>
      <x:c r="B116" s="6"/>
      <x:c r="C116" s="6"/>
      <x:c r="D116" s="6"/>
      <x:c r="E116" s="6"/>
      <x:c r="F116" s="6"/>
      <x:c r="G116" s="6"/>
      <x:c r="H116" s="7"/>
      <x:c r="I116" s="6"/>
      <x:c r="J116" s="6"/>
      <x:c r="K116" s="7"/>
      <x:c r="L116" s="7"/>
      <x:c r="M116" s="6"/>
      <x:c r="N116" s="9" t="str">
        <x:f>IF(A116="","",IF(COUNTIFS($A$6:$A$205,A116)&gt;1,"Duplicate issue ID",IF(I116="Resolved",IF(OR(L116="",M116=""),"Resolution evidence gap","Resolved"),IF(G116="","Unassigned",IF(OR(I116="",H116="",F116="",J116="",K116=""),"Missing action / evidence",IF(K116&lt;'Dashboard'!$B$4,"Action overdue","Open action"))))))</x:f>
      </x:c>
      <x:c r="O116" s="6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 ht="23" customHeight="1">
      <x:c r="A117" s="6"/>
      <x:c r="B117" s="6"/>
      <x:c r="C117" s="6"/>
      <x:c r="D117" s="6"/>
      <x:c r="E117" s="6"/>
      <x:c r="F117" s="6"/>
      <x:c r="G117" s="6"/>
      <x:c r="H117" s="7"/>
      <x:c r="I117" s="6"/>
      <x:c r="J117" s="6"/>
      <x:c r="K117" s="7"/>
      <x:c r="L117" s="7"/>
      <x:c r="M117" s="6"/>
      <x:c r="N117" s="9" t="str">
        <x:f>IF(A117="","",IF(COUNTIFS($A$6:$A$205,A117)&gt;1,"Duplicate issue ID",IF(I117="Resolved",IF(OR(L117="",M117=""),"Resolution evidence gap","Resolved"),IF(G117="","Unassigned",IF(OR(I117="",H117="",F117="",J117="",K117=""),"Missing action / evidence",IF(K117&lt;'Dashboard'!$B$4,"Action overdue","Open action"))))))</x:f>
      </x:c>
      <x:c r="O117" s="6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 ht="23" customHeight="1">
      <x:c r="A118" s="6"/>
      <x:c r="B118" s="6"/>
      <x:c r="C118" s="6"/>
      <x:c r="D118" s="6"/>
      <x:c r="E118" s="6"/>
      <x:c r="F118" s="6"/>
      <x:c r="G118" s="6"/>
      <x:c r="H118" s="7"/>
      <x:c r="I118" s="6"/>
      <x:c r="J118" s="6"/>
      <x:c r="K118" s="7"/>
      <x:c r="L118" s="7"/>
      <x:c r="M118" s="6"/>
      <x:c r="N118" s="9" t="str">
        <x:f>IF(A118="","",IF(COUNTIFS($A$6:$A$205,A118)&gt;1,"Duplicate issue ID",IF(I118="Resolved",IF(OR(L118="",M118=""),"Resolution evidence gap","Resolved"),IF(G118="","Unassigned",IF(OR(I118="",H118="",F118="",J118="",K118=""),"Missing action / evidence",IF(K118&lt;'Dashboard'!$B$4,"Action overdue","Open action"))))))</x:f>
      </x:c>
      <x:c r="O118" s="6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 ht="23" customHeight="1">
      <x:c r="A119" s="6"/>
      <x:c r="B119" s="6"/>
      <x:c r="C119" s="6"/>
      <x:c r="D119" s="6"/>
      <x:c r="E119" s="6"/>
      <x:c r="F119" s="6"/>
      <x:c r="G119" s="6"/>
      <x:c r="H119" s="7"/>
      <x:c r="I119" s="6"/>
      <x:c r="J119" s="6"/>
      <x:c r="K119" s="7"/>
      <x:c r="L119" s="7"/>
      <x:c r="M119" s="6"/>
      <x:c r="N119" s="9" t="str">
        <x:f>IF(A119="","",IF(COUNTIFS($A$6:$A$205,A119)&gt;1,"Duplicate issue ID",IF(I119="Resolved",IF(OR(L119="",M119=""),"Resolution evidence gap","Resolved"),IF(G119="","Unassigned",IF(OR(I119="",H119="",F119="",J119="",K119=""),"Missing action / evidence",IF(K119&lt;'Dashboard'!$B$4,"Action overdue","Open action"))))))</x:f>
      </x:c>
      <x:c r="O119" s="6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 ht="23" customHeight="1">
      <x:c r="A120" s="6"/>
      <x:c r="B120" s="6"/>
      <x:c r="C120" s="6"/>
      <x:c r="D120" s="6"/>
      <x:c r="E120" s="6"/>
      <x:c r="F120" s="6"/>
      <x:c r="G120" s="6"/>
      <x:c r="H120" s="7"/>
      <x:c r="I120" s="6"/>
      <x:c r="J120" s="6"/>
      <x:c r="K120" s="7"/>
      <x:c r="L120" s="7"/>
      <x:c r="M120" s="6"/>
      <x:c r="N120" s="9" t="str">
        <x:f>IF(A120="","",IF(COUNTIFS($A$6:$A$205,A120)&gt;1,"Duplicate issue ID",IF(I120="Resolved",IF(OR(L120="",M120=""),"Resolution evidence gap","Resolved"),IF(G120="","Unassigned",IF(OR(I120="",H120="",F120="",J120="",K120=""),"Missing action / evidence",IF(K120&lt;'Dashboard'!$B$4,"Action overdue","Open action"))))))</x:f>
      </x:c>
      <x:c r="O120" s="6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 ht="23" customHeight="1">
      <x:c r="A121" s="6"/>
      <x:c r="B121" s="6"/>
      <x:c r="C121" s="6"/>
      <x:c r="D121" s="6"/>
      <x:c r="E121" s="6"/>
      <x:c r="F121" s="6"/>
      <x:c r="G121" s="6"/>
      <x:c r="H121" s="7"/>
      <x:c r="I121" s="6"/>
      <x:c r="J121" s="6"/>
      <x:c r="K121" s="7"/>
      <x:c r="L121" s="7"/>
      <x:c r="M121" s="6"/>
      <x:c r="N121" s="9" t="str">
        <x:f>IF(A121="","",IF(COUNTIFS($A$6:$A$205,A121)&gt;1,"Duplicate issue ID",IF(I121="Resolved",IF(OR(L121="",M121=""),"Resolution evidence gap","Resolved"),IF(G121="","Unassigned",IF(OR(I121="",H121="",F121="",J121="",K121=""),"Missing action / evidence",IF(K121&lt;'Dashboard'!$B$4,"Action overdue","Open action"))))))</x:f>
      </x:c>
      <x:c r="O121" s="6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 ht="23" customHeight="1">
      <x:c r="A122" s="6"/>
      <x:c r="B122" s="6"/>
      <x:c r="C122" s="6"/>
      <x:c r="D122" s="6"/>
      <x:c r="E122" s="6"/>
      <x:c r="F122" s="6"/>
      <x:c r="G122" s="6"/>
      <x:c r="H122" s="7"/>
      <x:c r="I122" s="6"/>
      <x:c r="J122" s="6"/>
      <x:c r="K122" s="7"/>
      <x:c r="L122" s="7"/>
      <x:c r="M122" s="6"/>
      <x:c r="N122" s="9" t="str">
        <x:f>IF(A122="","",IF(COUNTIFS($A$6:$A$205,A122)&gt;1,"Duplicate issue ID",IF(I122="Resolved",IF(OR(L122="",M122=""),"Resolution evidence gap","Resolved"),IF(G122="","Unassigned",IF(OR(I122="",H122="",F122="",J122="",K122=""),"Missing action / evidence",IF(K122&lt;'Dashboard'!$B$4,"Action overdue","Open action"))))))</x:f>
      </x:c>
      <x:c r="O122" s="6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 ht="23" customHeight="1">
      <x:c r="A123" s="6"/>
      <x:c r="B123" s="6"/>
      <x:c r="C123" s="6"/>
      <x:c r="D123" s="6"/>
      <x:c r="E123" s="6"/>
      <x:c r="F123" s="6"/>
      <x:c r="G123" s="6"/>
      <x:c r="H123" s="7"/>
      <x:c r="I123" s="6"/>
      <x:c r="J123" s="6"/>
      <x:c r="K123" s="7"/>
      <x:c r="L123" s="7"/>
      <x:c r="M123" s="6"/>
      <x:c r="N123" s="9" t="str">
        <x:f>IF(A123="","",IF(COUNTIFS($A$6:$A$205,A123)&gt;1,"Duplicate issue ID",IF(I123="Resolved",IF(OR(L123="",M123=""),"Resolution evidence gap","Resolved"),IF(G123="","Unassigned",IF(OR(I123="",H123="",F123="",J123="",K123=""),"Missing action / evidence",IF(K123&lt;'Dashboard'!$B$4,"Action overdue","Open action"))))))</x:f>
      </x:c>
      <x:c r="O123" s="6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 ht="23" customHeight="1">
      <x:c r="A124" s="6"/>
      <x:c r="B124" s="6"/>
      <x:c r="C124" s="6"/>
      <x:c r="D124" s="6"/>
      <x:c r="E124" s="6"/>
      <x:c r="F124" s="6"/>
      <x:c r="G124" s="6"/>
      <x:c r="H124" s="7"/>
      <x:c r="I124" s="6"/>
      <x:c r="J124" s="6"/>
      <x:c r="K124" s="7"/>
      <x:c r="L124" s="7"/>
      <x:c r="M124" s="6"/>
      <x:c r="N124" s="9" t="str">
        <x:f>IF(A124="","",IF(COUNTIFS($A$6:$A$205,A124)&gt;1,"Duplicate issue ID",IF(I124="Resolved",IF(OR(L124="",M124=""),"Resolution evidence gap","Resolved"),IF(G124="","Unassigned",IF(OR(I124="",H124="",F124="",J124="",K124=""),"Missing action / evidence",IF(K124&lt;'Dashboard'!$B$4,"Action overdue","Open action"))))))</x:f>
      </x:c>
      <x:c r="O124" s="6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 ht="23" customHeight="1">
      <x:c r="A125" s="6"/>
      <x:c r="B125" s="6"/>
      <x:c r="C125" s="6"/>
      <x:c r="D125" s="6"/>
      <x:c r="E125" s="6"/>
      <x:c r="F125" s="6"/>
      <x:c r="G125" s="6"/>
      <x:c r="H125" s="7"/>
      <x:c r="I125" s="6"/>
      <x:c r="J125" s="6"/>
      <x:c r="K125" s="7"/>
      <x:c r="L125" s="7"/>
      <x:c r="M125" s="6"/>
      <x:c r="N125" s="9" t="str">
        <x:f>IF(A125="","",IF(COUNTIFS($A$6:$A$205,A125)&gt;1,"Duplicate issue ID",IF(I125="Resolved",IF(OR(L125="",M125=""),"Resolution evidence gap","Resolved"),IF(G125="","Unassigned",IF(OR(I125="",H125="",F125="",J125="",K125=""),"Missing action / evidence",IF(K125&lt;'Dashboard'!$B$4,"Action overdue","Open action"))))))</x:f>
      </x:c>
      <x:c r="O125" s="6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 ht="23" customHeight="1">
      <x:c r="A126" s="6"/>
      <x:c r="B126" s="6"/>
      <x:c r="C126" s="6"/>
      <x:c r="D126" s="6"/>
      <x:c r="E126" s="6"/>
      <x:c r="F126" s="6"/>
      <x:c r="G126" s="6"/>
      <x:c r="H126" s="7"/>
      <x:c r="I126" s="6"/>
      <x:c r="J126" s="6"/>
      <x:c r="K126" s="7"/>
      <x:c r="L126" s="7"/>
      <x:c r="M126" s="6"/>
      <x:c r="N126" s="9" t="str">
        <x:f>IF(A126="","",IF(COUNTIFS($A$6:$A$205,A126)&gt;1,"Duplicate issue ID",IF(I126="Resolved",IF(OR(L126="",M126=""),"Resolution evidence gap","Resolved"),IF(G126="","Unassigned",IF(OR(I126="",H126="",F126="",J126="",K126=""),"Missing action / evidence",IF(K126&lt;'Dashboard'!$B$4,"Action overdue","Open action"))))))</x:f>
      </x:c>
      <x:c r="O126" s="6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 ht="23" customHeight="1">
      <x:c r="A127" s="6"/>
      <x:c r="B127" s="6"/>
      <x:c r="C127" s="6"/>
      <x:c r="D127" s="6"/>
      <x:c r="E127" s="6"/>
      <x:c r="F127" s="6"/>
      <x:c r="G127" s="6"/>
      <x:c r="H127" s="7"/>
      <x:c r="I127" s="6"/>
      <x:c r="J127" s="6"/>
      <x:c r="K127" s="7"/>
      <x:c r="L127" s="7"/>
      <x:c r="M127" s="6"/>
      <x:c r="N127" s="9" t="str">
        <x:f>IF(A127="","",IF(COUNTIFS($A$6:$A$205,A127)&gt;1,"Duplicate issue ID",IF(I127="Resolved",IF(OR(L127="",M127=""),"Resolution evidence gap","Resolved"),IF(G127="","Unassigned",IF(OR(I127="",H127="",F127="",J127="",K127=""),"Missing action / evidence",IF(K127&lt;'Dashboard'!$B$4,"Action overdue","Open action"))))))</x:f>
      </x:c>
      <x:c r="O127" s="6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 ht="23" customHeight="1">
      <x:c r="A128" s="6"/>
      <x:c r="B128" s="6"/>
      <x:c r="C128" s="6"/>
      <x:c r="D128" s="6"/>
      <x:c r="E128" s="6"/>
      <x:c r="F128" s="6"/>
      <x:c r="G128" s="6"/>
      <x:c r="H128" s="7"/>
      <x:c r="I128" s="6"/>
      <x:c r="J128" s="6"/>
      <x:c r="K128" s="7"/>
      <x:c r="L128" s="7"/>
      <x:c r="M128" s="6"/>
      <x:c r="N128" s="9" t="str">
        <x:f>IF(A128="","",IF(COUNTIFS($A$6:$A$205,A128)&gt;1,"Duplicate issue ID",IF(I128="Resolved",IF(OR(L128="",M128=""),"Resolution evidence gap","Resolved"),IF(G128="","Unassigned",IF(OR(I128="",H128="",F128="",J128="",K128=""),"Missing action / evidence",IF(K128&lt;'Dashboard'!$B$4,"Action overdue","Open action"))))))</x:f>
      </x:c>
      <x:c r="O128" s="6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 ht="23" customHeight="1">
      <x:c r="A129" s="6"/>
      <x:c r="B129" s="6"/>
      <x:c r="C129" s="6"/>
      <x:c r="D129" s="6"/>
      <x:c r="E129" s="6"/>
      <x:c r="F129" s="6"/>
      <x:c r="G129" s="6"/>
      <x:c r="H129" s="7"/>
      <x:c r="I129" s="6"/>
      <x:c r="J129" s="6"/>
      <x:c r="K129" s="7"/>
      <x:c r="L129" s="7"/>
      <x:c r="M129" s="6"/>
      <x:c r="N129" s="9" t="str">
        <x:f>IF(A129="","",IF(COUNTIFS($A$6:$A$205,A129)&gt;1,"Duplicate issue ID",IF(I129="Resolved",IF(OR(L129="",M129=""),"Resolution evidence gap","Resolved"),IF(G129="","Unassigned",IF(OR(I129="",H129="",F129="",J129="",K129=""),"Missing action / evidence",IF(K129&lt;'Dashboard'!$B$4,"Action overdue","Open action"))))))</x:f>
      </x:c>
      <x:c r="O129" s="6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 ht="23" customHeight="1">
      <x:c r="A130" s="6"/>
      <x:c r="B130" s="6"/>
      <x:c r="C130" s="6"/>
      <x:c r="D130" s="6"/>
      <x:c r="E130" s="6"/>
      <x:c r="F130" s="6"/>
      <x:c r="G130" s="6"/>
      <x:c r="H130" s="7"/>
      <x:c r="I130" s="6"/>
      <x:c r="J130" s="6"/>
      <x:c r="K130" s="7"/>
      <x:c r="L130" s="7"/>
      <x:c r="M130" s="6"/>
      <x:c r="N130" s="9" t="str">
        <x:f>IF(A130="","",IF(COUNTIFS($A$6:$A$205,A130)&gt;1,"Duplicate issue ID",IF(I130="Resolved",IF(OR(L130="",M130=""),"Resolution evidence gap","Resolved"),IF(G130="","Unassigned",IF(OR(I130="",H130="",F130="",J130="",K130=""),"Missing action / evidence",IF(K130&lt;'Dashboard'!$B$4,"Action overdue","Open action"))))))</x:f>
      </x:c>
      <x:c r="O130" s="6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 ht="23" customHeight="1">
      <x:c r="A131" s="6"/>
      <x:c r="B131" s="6"/>
      <x:c r="C131" s="6"/>
      <x:c r="D131" s="6"/>
      <x:c r="E131" s="6"/>
      <x:c r="F131" s="6"/>
      <x:c r="G131" s="6"/>
      <x:c r="H131" s="7"/>
      <x:c r="I131" s="6"/>
      <x:c r="J131" s="6"/>
      <x:c r="K131" s="7"/>
      <x:c r="L131" s="7"/>
      <x:c r="M131" s="6"/>
      <x:c r="N131" s="9" t="str">
        <x:f>IF(A131="","",IF(COUNTIFS($A$6:$A$205,A131)&gt;1,"Duplicate issue ID",IF(I131="Resolved",IF(OR(L131="",M131=""),"Resolution evidence gap","Resolved"),IF(G131="","Unassigned",IF(OR(I131="",H131="",F131="",J131="",K131=""),"Missing action / evidence",IF(K131&lt;'Dashboard'!$B$4,"Action overdue","Open action"))))))</x:f>
      </x:c>
      <x:c r="O131" s="6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 ht="23" customHeight="1">
      <x:c r="A132" s="6"/>
      <x:c r="B132" s="6"/>
      <x:c r="C132" s="6"/>
      <x:c r="D132" s="6"/>
      <x:c r="E132" s="6"/>
      <x:c r="F132" s="6"/>
      <x:c r="G132" s="6"/>
      <x:c r="H132" s="7"/>
      <x:c r="I132" s="6"/>
      <x:c r="J132" s="6"/>
      <x:c r="K132" s="7"/>
      <x:c r="L132" s="7"/>
      <x:c r="M132" s="6"/>
      <x:c r="N132" s="9" t="str">
        <x:f>IF(A132="","",IF(COUNTIFS($A$6:$A$205,A132)&gt;1,"Duplicate issue ID",IF(I132="Resolved",IF(OR(L132="",M132=""),"Resolution evidence gap","Resolved"),IF(G132="","Unassigned",IF(OR(I132="",H132="",F132="",J132="",K132=""),"Missing action / evidence",IF(K132&lt;'Dashboard'!$B$4,"Action overdue","Open action"))))))</x:f>
      </x:c>
      <x:c r="O132" s="6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 ht="23" customHeight="1">
      <x:c r="A133" s="6"/>
      <x:c r="B133" s="6"/>
      <x:c r="C133" s="6"/>
      <x:c r="D133" s="6"/>
      <x:c r="E133" s="6"/>
      <x:c r="F133" s="6"/>
      <x:c r="G133" s="6"/>
      <x:c r="H133" s="7"/>
      <x:c r="I133" s="6"/>
      <x:c r="J133" s="6"/>
      <x:c r="K133" s="7"/>
      <x:c r="L133" s="7"/>
      <x:c r="M133" s="6"/>
      <x:c r="N133" s="9" t="str">
        <x:f>IF(A133="","",IF(COUNTIFS($A$6:$A$205,A133)&gt;1,"Duplicate issue ID",IF(I133="Resolved",IF(OR(L133="",M133=""),"Resolution evidence gap","Resolved"),IF(G133="","Unassigned",IF(OR(I133="",H133="",F133="",J133="",K133=""),"Missing action / evidence",IF(K133&lt;'Dashboard'!$B$4,"Action overdue","Open action"))))))</x:f>
      </x:c>
      <x:c r="O133" s="6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 ht="23" customHeight="1">
      <x:c r="A134" s="6"/>
      <x:c r="B134" s="6"/>
      <x:c r="C134" s="6"/>
      <x:c r="D134" s="6"/>
      <x:c r="E134" s="6"/>
      <x:c r="F134" s="6"/>
      <x:c r="G134" s="6"/>
      <x:c r="H134" s="7"/>
      <x:c r="I134" s="6"/>
      <x:c r="J134" s="6"/>
      <x:c r="K134" s="7"/>
      <x:c r="L134" s="7"/>
      <x:c r="M134" s="6"/>
      <x:c r="N134" s="9" t="str">
        <x:f>IF(A134="","",IF(COUNTIFS($A$6:$A$205,A134)&gt;1,"Duplicate issue ID",IF(I134="Resolved",IF(OR(L134="",M134=""),"Resolution evidence gap","Resolved"),IF(G134="","Unassigned",IF(OR(I134="",H134="",F134="",J134="",K134=""),"Missing action / evidence",IF(K134&lt;'Dashboard'!$B$4,"Action overdue","Open action"))))))</x:f>
      </x:c>
      <x:c r="O134" s="6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 ht="23" customHeight="1">
      <x:c r="A135" s="6"/>
      <x:c r="B135" s="6"/>
      <x:c r="C135" s="6"/>
      <x:c r="D135" s="6"/>
      <x:c r="E135" s="6"/>
      <x:c r="F135" s="6"/>
      <x:c r="G135" s="6"/>
      <x:c r="H135" s="7"/>
      <x:c r="I135" s="6"/>
      <x:c r="J135" s="6"/>
      <x:c r="K135" s="7"/>
      <x:c r="L135" s="7"/>
      <x:c r="M135" s="6"/>
      <x:c r="N135" s="9" t="str">
        <x:f>IF(A135="","",IF(COUNTIFS($A$6:$A$205,A135)&gt;1,"Duplicate issue ID",IF(I135="Resolved",IF(OR(L135="",M135=""),"Resolution evidence gap","Resolved"),IF(G135="","Unassigned",IF(OR(I135="",H135="",F135="",J135="",K135=""),"Missing action / evidence",IF(K135&lt;'Dashboard'!$B$4,"Action overdue","Open action"))))))</x:f>
      </x:c>
      <x:c r="O135" s="6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 ht="23" customHeight="1">
      <x:c r="A136" s="6"/>
      <x:c r="B136" s="6"/>
      <x:c r="C136" s="6"/>
      <x:c r="D136" s="6"/>
      <x:c r="E136" s="6"/>
      <x:c r="F136" s="6"/>
      <x:c r="G136" s="6"/>
      <x:c r="H136" s="7"/>
      <x:c r="I136" s="6"/>
      <x:c r="J136" s="6"/>
      <x:c r="K136" s="7"/>
      <x:c r="L136" s="7"/>
      <x:c r="M136" s="6"/>
      <x:c r="N136" s="9" t="str">
        <x:f>IF(A136="","",IF(COUNTIFS($A$6:$A$205,A136)&gt;1,"Duplicate issue ID",IF(I136="Resolved",IF(OR(L136="",M136=""),"Resolution evidence gap","Resolved"),IF(G136="","Unassigned",IF(OR(I136="",H136="",F136="",J136="",K136=""),"Missing action / evidence",IF(K136&lt;'Dashboard'!$B$4,"Action overdue","Open action"))))))</x:f>
      </x:c>
      <x:c r="O136" s="6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 ht="23" customHeight="1">
      <x:c r="A137" s="6"/>
      <x:c r="B137" s="6"/>
      <x:c r="C137" s="6"/>
      <x:c r="D137" s="6"/>
      <x:c r="E137" s="6"/>
      <x:c r="F137" s="6"/>
      <x:c r="G137" s="6"/>
      <x:c r="H137" s="7"/>
      <x:c r="I137" s="6"/>
      <x:c r="J137" s="6"/>
      <x:c r="K137" s="7"/>
      <x:c r="L137" s="7"/>
      <x:c r="M137" s="6"/>
      <x:c r="N137" s="9" t="str">
        <x:f>IF(A137="","",IF(COUNTIFS($A$6:$A$205,A137)&gt;1,"Duplicate issue ID",IF(I137="Resolved",IF(OR(L137="",M137=""),"Resolution evidence gap","Resolved"),IF(G137="","Unassigned",IF(OR(I137="",H137="",F137="",J137="",K137=""),"Missing action / evidence",IF(K137&lt;'Dashboard'!$B$4,"Action overdue","Open action"))))))</x:f>
      </x:c>
      <x:c r="O137" s="6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 ht="23" customHeight="1">
      <x:c r="A138" s="6"/>
      <x:c r="B138" s="6"/>
      <x:c r="C138" s="6"/>
      <x:c r="D138" s="6"/>
      <x:c r="E138" s="6"/>
      <x:c r="F138" s="6"/>
      <x:c r="G138" s="6"/>
      <x:c r="H138" s="7"/>
      <x:c r="I138" s="6"/>
      <x:c r="J138" s="6"/>
      <x:c r="K138" s="7"/>
      <x:c r="L138" s="7"/>
      <x:c r="M138" s="6"/>
      <x:c r="N138" s="9" t="str">
        <x:f>IF(A138="","",IF(COUNTIFS($A$6:$A$205,A138)&gt;1,"Duplicate issue ID",IF(I138="Resolved",IF(OR(L138="",M138=""),"Resolution evidence gap","Resolved"),IF(G138="","Unassigned",IF(OR(I138="",H138="",F138="",J138="",K138=""),"Missing action / evidence",IF(K138&lt;'Dashboard'!$B$4,"Action overdue","Open action"))))))</x:f>
      </x:c>
      <x:c r="O138" s="6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 ht="23" customHeight="1">
      <x:c r="A139" s="6"/>
      <x:c r="B139" s="6"/>
      <x:c r="C139" s="6"/>
      <x:c r="D139" s="6"/>
      <x:c r="E139" s="6"/>
      <x:c r="F139" s="6"/>
      <x:c r="G139" s="6"/>
      <x:c r="H139" s="7"/>
      <x:c r="I139" s="6"/>
      <x:c r="J139" s="6"/>
      <x:c r="K139" s="7"/>
      <x:c r="L139" s="7"/>
      <x:c r="M139" s="6"/>
      <x:c r="N139" s="9" t="str">
        <x:f>IF(A139="","",IF(COUNTIFS($A$6:$A$205,A139)&gt;1,"Duplicate issue ID",IF(I139="Resolved",IF(OR(L139="",M139=""),"Resolution evidence gap","Resolved"),IF(G139="","Unassigned",IF(OR(I139="",H139="",F139="",J139="",K139=""),"Missing action / evidence",IF(K139&lt;'Dashboard'!$B$4,"Action overdue","Open action"))))))</x:f>
      </x:c>
      <x:c r="O139" s="6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 ht="23" customHeight="1">
      <x:c r="A140" s="6"/>
      <x:c r="B140" s="6"/>
      <x:c r="C140" s="6"/>
      <x:c r="D140" s="6"/>
      <x:c r="E140" s="6"/>
      <x:c r="F140" s="6"/>
      <x:c r="G140" s="6"/>
      <x:c r="H140" s="7"/>
      <x:c r="I140" s="6"/>
      <x:c r="J140" s="6"/>
      <x:c r="K140" s="7"/>
      <x:c r="L140" s="7"/>
      <x:c r="M140" s="6"/>
      <x:c r="N140" s="9" t="str">
        <x:f>IF(A140="","",IF(COUNTIFS($A$6:$A$205,A140)&gt;1,"Duplicate issue ID",IF(I140="Resolved",IF(OR(L140="",M140=""),"Resolution evidence gap","Resolved"),IF(G140="","Unassigned",IF(OR(I140="",H140="",F140="",J140="",K140=""),"Missing action / evidence",IF(K140&lt;'Dashboard'!$B$4,"Action overdue","Open action"))))))</x:f>
      </x:c>
      <x:c r="O140" s="6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 ht="23" customHeight="1">
      <x:c r="A141" s="6"/>
      <x:c r="B141" s="6"/>
      <x:c r="C141" s="6"/>
      <x:c r="D141" s="6"/>
      <x:c r="E141" s="6"/>
      <x:c r="F141" s="6"/>
      <x:c r="G141" s="6"/>
      <x:c r="H141" s="7"/>
      <x:c r="I141" s="6"/>
      <x:c r="J141" s="6"/>
      <x:c r="K141" s="7"/>
      <x:c r="L141" s="7"/>
      <x:c r="M141" s="6"/>
      <x:c r="N141" s="9" t="str">
        <x:f>IF(A141="","",IF(COUNTIFS($A$6:$A$205,A141)&gt;1,"Duplicate issue ID",IF(I141="Resolved",IF(OR(L141="",M141=""),"Resolution evidence gap","Resolved"),IF(G141="","Unassigned",IF(OR(I141="",H141="",F141="",J141="",K141=""),"Missing action / evidence",IF(K141&lt;'Dashboard'!$B$4,"Action overdue","Open action"))))))</x:f>
      </x:c>
      <x:c r="O141" s="6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 ht="23" customHeight="1">
      <x:c r="A142" s="6"/>
      <x:c r="B142" s="6"/>
      <x:c r="C142" s="6"/>
      <x:c r="D142" s="6"/>
      <x:c r="E142" s="6"/>
      <x:c r="F142" s="6"/>
      <x:c r="G142" s="6"/>
      <x:c r="H142" s="7"/>
      <x:c r="I142" s="6"/>
      <x:c r="J142" s="6"/>
      <x:c r="K142" s="7"/>
      <x:c r="L142" s="7"/>
      <x:c r="M142" s="6"/>
      <x:c r="N142" s="9" t="str">
        <x:f>IF(A142="","",IF(COUNTIFS($A$6:$A$205,A142)&gt;1,"Duplicate issue ID",IF(I142="Resolved",IF(OR(L142="",M142=""),"Resolution evidence gap","Resolved"),IF(G142="","Unassigned",IF(OR(I142="",H142="",F142="",J142="",K142=""),"Missing action / evidence",IF(K142&lt;'Dashboard'!$B$4,"Action overdue","Open action"))))))</x:f>
      </x:c>
      <x:c r="O142" s="6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 ht="23" customHeight="1">
      <x:c r="A143" s="6"/>
      <x:c r="B143" s="6"/>
      <x:c r="C143" s="6"/>
      <x:c r="D143" s="6"/>
      <x:c r="E143" s="6"/>
      <x:c r="F143" s="6"/>
      <x:c r="G143" s="6"/>
      <x:c r="H143" s="7"/>
      <x:c r="I143" s="6"/>
      <x:c r="J143" s="6"/>
      <x:c r="K143" s="7"/>
      <x:c r="L143" s="7"/>
      <x:c r="M143" s="6"/>
      <x:c r="N143" s="9" t="str">
        <x:f>IF(A143="","",IF(COUNTIFS($A$6:$A$205,A143)&gt;1,"Duplicate issue ID",IF(I143="Resolved",IF(OR(L143="",M143=""),"Resolution evidence gap","Resolved"),IF(G143="","Unassigned",IF(OR(I143="",H143="",F143="",J143="",K143=""),"Missing action / evidence",IF(K143&lt;'Dashboard'!$B$4,"Action overdue","Open action"))))))</x:f>
      </x:c>
      <x:c r="O143" s="6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 ht="23" customHeight="1">
      <x:c r="A144" s="6"/>
      <x:c r="B144" s="6"/>
      <x:c r="C144" s="6"/>
      <x:c r="D144" s="6"/>
      <x:c r="E144" s="6"/>
      <x:c r="F144" s="6"/>
      <x:c r="G144" s="6"/>
      <x:c r="H144" s="7"/>
      <x:c r="I144" s="6"/>
      <x:c r="J144" s="6"/>
      <x:c r="K144" s="7"/>
      <x:c r="L144" s="7"/>
      <x:c r="M144" s="6"/>
      <x:c r="N144" s="9" t="str">
        <x:f>IF(A144="","",IF(COUNTIFS($A$6:$A$205,A144)&gt;1,"Duplicate issue ID",IF(I144="Resolved",IF(OR(L144="",M144=""),"Resolution evidence gap","Resolved"),IF(G144="","Unassigned",IF(OR(I144="",H144="",F144="",J144="",K144=""),"Missing action / evidence",IF(K144&lt;'Dashboard'!$B$4,"Action overdue","Open action"))))))</x:f>
      </x:c>
      <x:c r="O144" s="6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 ht="23" customHeight="1">
      <x:c r="A145" s="6"/>
      <x:c r="B145" s="6"/>
      <x:c r="C145" s="6"/>
      <x:c r="D145" s="6"/>
      <x:c r="E145" s="6"/>
      <x:c r="F145" s="6"/>
      <x:c r="G145" s="6"/>
      <x:c r="H145" s="7"/>
      <x:c r="I145" s="6"/>
      <x:c r="J145" s="6"/>
      <x:c r="K145" s="7"/>
      <x:c r="L145" s="7"/>
      <x:c r="M145" s="6"/>
      <x:c r="N145" s="9" t="str">
        <x:f>IF(A145="","",IF(COUNTIFS($A$6:$A$205,A145)&gt;1,"Duplicate issue ID",IF(I145="Resolved",IF(OR(L145="",M145=""),"Resolution evidence gap","Resolved"),IF(G145="","Unassigned",IF(OR(I145="",H145="",F145="",J145="",K145=""),"Missing action / evidence",IF(K145&lt;'Dashboard'!$B$4,"Action overdue","Open action"))))))</x:f>
      </x:c>
      <x:c r="O145" s="6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 ht="23" customHeight="1">
      <x:c r="A146" s="6"/>
      <x:c r="B146" s="6"/>
      <x:c r="C146" s="6"/>
      <x:c r="D146" s="6"/>
      <x:c r="E146" s="6"/>
      <x:c r="F146" s="6"/>
      <x:c r="G146" s="6"/>
      <x:c r="H146" s="7"/>
      <x:c r="I146" s="6"/>
      <x:c r="J146" s="6"/>
      <x:c r="K146" s="7"/>
      <x:c r="L146" s="7"/>
      <x:c r="M146" s="6"/>
      <x:c r="N146" s="9" t="str">
        <x:f>IF(A146="","",IF(COUNTIFS($A$6:$A$205,A146)&gt;1,"Duplicate issue ID",IF(I146="Resolved",IF(OR(L146="",M146=""),"Resolution evidence gap","Resolved"),IF(G146="","Unassigned",IF(OR(I146="",H146="",F146="",J146="",K146=""),"Missing action / evidence",IF(K146&lt;'Dashboard'!$B$4,"Action overdue","Open action"))))))</x:f>
      </x:c>
      <x:c r="O146" s="6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 ht="23" customHeight="1">
      <x:c r="A147" s="6"/>
      <x:c r="B147" s="6"/>
      <x:c r="C147" s="6"/>
      <x:c r="D147" s="6"/>
      <x:c r="E147" s="6"/>
      <x:c r="F147" s="6"/>
      <x:c r="G147" s="6"/>
      <x:c r="H147" s="7"/>
      <x:c r="I147" s="6"/>
      <x:c r="J147" s="6"/>
      <x:c r="K147" s="7"/>
      <x:c r="L147" s="7"/>
      <x:c r="M147" s="6"/>
      <x:c r="N147" s="9" t="str">
        <x:f>IF(A147="","",IF(COUNTIFS($A$6:$A$205,A147)&gt;1,"Duplicate issue ID",IF(I147="Resolved",IF(OR(L147="",M147=""),"Resolution evidence gap","Resolved"),IF(G147="","Unassigned",IF(OR(I147="",H147="",F147="",J147="",K147=""),"Missing action / evidence",IF(K147&lt;'Dashboard'!$B$4,"Action overdue","Open action"))))))</x:f>
      </x:c>
      <x:c r="O147" s="6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 ht="23" customHeight="1">
      <x:c r="A148" s="6"/>
      <x:c r="B148" s="6"/>
      <x:c r="C148" s="6"/>
      <x:c r="D148" s="6"/>
      <x:c r="E148" s="6"/>
      <x:c r="F148" s="6"/>
      <x:c r="G148" s="6"/>
      <x:c r="H148" s="7"/>
      <x:c r="I148" s="6"/>
      <x:c r="J148" s="6"/>
      <x:c r="K148" s="7"/>
      <x:c r="L148" s="7"/>
      <x:c r="M148" s="6"/>
      <x:c r="N148" s="9" t="str">
        <x:f>IF(A148="","",IF(COUNTIFS($A$6:$A$205,A148)&gt;1,"Duplicate issue ID",IF(I148="Resolved",IF(OR(L148="",M148=""),"Resolution evidence gap","Resolved"),IF(G148="","Unassigned",IF(OR(I148="",H148="",F148="",J148="",K148=""),"Missing action / evidence",IF(K148&lt;'Dashboard'!$B$4,"Action overdue","Open action"))))))</x:f>
      </x:c>
      <x:c r="O148" s="6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 ht="23" customHeight="1">
      <x:c r="A149" s="6"/>
      <x:c r="B149" s="6"/>
      <x:c r="C149" s="6"/>
      <x:c r="D149" s="6"/>
      <x:c r="E149" s="6"/>
      <x:c r="F149" s="6"/>
      <x:c r="G149" s="6"/>
      <x:c r="H149" s="7"/>
      <x:c r="I149" s="6"/>
      <x:c r="J149" s="6"/>
      <x:c r="K149" s="7"/>
      <x:c r="L149" s="7"/>
      <x:c r="M149" s="6"/>
      <x:c r="N149" s="9" t="str">
        <x:f>IF(A149="","",IF(COUNTIFS($A$6:$A$205,A149)&gt;1,"Duplicate issue ID",IF(I149="Resolved",IF(OR(L149="",M149=""),"Resolution evidence gap","Resolved"),IF(G149="","Unassigned",IF(OR(I149="",H149="",F149="",J149="",K149=""),"Missing action / evidence",IF(K149&lt;'Dashboard'!$B$4,"Action overdue","Open action"))))))</x:f>
      </x:c>
      <x:c r="O149" s="6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 ht="23" customHeight="1">
      <x:c r="A150" s="6"/>
      <x:c r="B150" s="6"/>
      <x:c r="C150" s="6"/>
      <x:c r="D150" s="6"/>
      <x:c r="E150" s="6"/>
      <x:c r="F150" s="6"/>
      <x:c r="G150" s="6"/>
      <x:c r="H150" s="7"/>
      <x:c r="I150" s="6"/>
      <x:c r="J150" s="6"/>
      <x:c r="K150" s="7"/>
      <x:c r="L150" s="7"/>
      <x:c r="M150" s="6"/>
      <x:c r="N150" s="9" t="str">
        <x:f>IF(A150="","",IF(COUNTIFS($A$6:$A$205,A150)&gt;1,"Duplicate issue ID",IF(I150="Resolved",IF(OR(L150="",M150=""),"Resolution evidence gap","Resolved"),IF(G150="","Unassigned",IF(OR(I150="",H150="",F150="",J150="",K150=""),"Missing action / evidence",IF(K150&lt;'Dashboard'!$B$4,"Action overdue","Open action"))))))</x:f>
      </x:c>
      <x:c r="O150" s="6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 ht="23" customHeight="1">
      <x:c r="A151" s="6"/>
      <x:c r="B151" s="6"/>
      <x:c r="C151" s="6"/>
      <x:c r="D151" s="6"/>
      <x:c r="E151" s="6"/>
      <x:c r="F151" s="6"/>
      <x:c r="G151" s="6"/>
      <x:c r="H151" s="7"/>
      <x:c r="I151" s="6"/>
      <x:c r="J151" s="6"/>
      <x:c r="K151" s="7"/>
      <x:c r="L151" s="7"/>
      <x:c r="M151" s="6"/>
      <x:c r="N151" s="9" t="str">
        <x:f>IF(A151="","",IF(COUNTIFS($A$6:$A$205,A151)&gt;1,"Duplicate issue ID",IF(I151="Resolved",IF(OR(L151="",M151=""),"Resolution evidence gap","Resolved"),IF(G151="","Unassigned",IF(OR(I151="",H151="",F151="",J151="",K151=""),"Missing action / evidence",IF(K151&lt;'Dashboard'!$B$4,"Action overdue","Open action"))))))</x:f>
      </x:c>
      <x:c r="O151" s="6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 ht="23" customHeight="1">
      <x:c r="A152" s="6"/>
      <x:c r="B152" s="6"/>
      <x:c r="C152" s="6"/>
      <x:c r="D152" s="6"/>
      <x:c r="E152" s="6"/>
      <x:c r="F152" s="6"/>
      <x:c r="G152" s="6"/>
      <x:c r="H152" s="7"/>
      <x:c r="I152" s="6"/>
      <x:c r="J152" s="6"/>
      <x:c r="K152" s="7"/>
      <x:c r="L152" s="7"/>
      <x:c r="M152" s="6"/>
      <x:c r="N152" s="9" t="str">
        <x:f>IF(A152="","",IF(COUNTIFS($A$6:$A$205,A152)&gt;1,"Duplicate issue ID",IF(I152="Resolved",IF(OR(L152="",M152=""),"Resolution evidence gap","Resolved"),IF(G152="","Unassigned",IF(OR(I152="",H152="",F152="",J152="",K152=""),"Missing action / evidence",IF(K152&lt;'Dashboard'!$B$4,"Action overdue","Open action"))))))</x:f>
      </x:c>
      <x:c r="O152" s="6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 ht="23" customHeight="1">
      <x:c r="A153" s="6"/>
      <x:c r="B153" s="6"/>
      <x:c r="C153" s="6"/>
      <x:c r="D153" s="6"/>
      <x:c r="E153" s="6"/>
      <x:c r="F153" s="6"/>
      <x:c r="G153" s="6"/>
      <x:c r="H153" s="7"/>
      <x:c r="I153" s="6"/>
      <x:c r="J153" s="6"/>
      <x:c r="K153" s="7"/>
      <x:c r="L153" s="7"/>
      <x:c r="M153" s="6"/>
      <x:c r="N153" s="9" t="str">
        <x:f>IF(A153="","",IF(COUNTIFS($A$6:$A$205,A153)&gt;1,"Duplicate issue ID",IF(I153="Resolved",IF(OR(L153="",M153=""),"Resolution evidence gap","Resolved"),IF(G153="","Unassigned",IF(OR(I153="",H153="",F153="",J153="",K153=""),"Missing action / evidence",IF(K153&lt;'Dashboard'!$B$4,"Action overdue","Open action"))))))</x:f>
      </x:c>
      <x:c r="O153" s="6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 ht="23" customHeight="1">
      <x:c r="A154" s="6"/>
      <x:c r="B154" s="6"/>
      <x:c r="C154" s="6"/>
      <x:c r="D154" s="6"/>
      <x:c r="E154" s="6"/>
      <x:c r="F154" s="6"/>
      <x:c r="G154" s="6"/>
      <x:c r="H154" s="7"/>
      <x:c r="I154" s="6"/>
      <x:c r="J154" s="6"/>
      <x:c r="K154" s="7"/>
      <x:c r="L154" s="7"/>
      <x:c r="M154" s="6"/>
      <x:c r="N154" s="9" t="str">
        <x:f>IF(A154="","",IF(COUNTIFS($A$6:$A$205,A154)&gt;1,"Duplicate issue ID",IF(I154="Resolved",IF(OR(L154="",M154=""),"Resolution evidence gap","Resolved"),IF(G154="","Unassigned",IF(OR(I154="",H154="",F154="",J154="",K154=""),"Missing action / evidence",IF(K154&lt;'Dashboard'!$B$4,"Action overdue","Open action"))))))</x:f>
      </x:c>
      <x:c r="O154" s="6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 ht="23" customHeight="1">
      <x:c r="A155" s="6"/>
      <x:c r="B155" s="6"/>
      <x:c r="C155" s="6"/>
      <x:c r="D155" s="6"/>
      <x:c r="E155" s="6"/>
      <x:c r="F155" s="6"/>
      <x:c r="G155" s="6"/>
      <x:c r="H155" s="7"/>
      <x:c r="I155" s="6"/>
      <x:c r="J155" s="6"/>
      <x:c r="K155" s="7"/>
      <x:c r="L155" s="7"/>
      <x:c r="M155" s="6"/>
      <x:c r="N155" s="9" t="str">
        <x:f>IF(A155="","",IF(COUNTIFS($A$6:$A$205,A155)&gt;1,"Duplicate issue ID",IF(I155="Resolved",IF(OR(L155="",M155=""),"Resolution evidence gap","Resolved"),IF(G155="","Unassigned",IF(OR(I155="",H155="",F155="",J155="",K155=""),"Missing action / evidence",IF(K155&lt;'Dashboard'!$B$4,"Action overdue","Open action"))))))</x:f>
      </x:c>
      <x:c r="O155" s="6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 ht="23" customHeight="1">
      <x:c r="A156" s="6"/>
      <x:c r="B156" s="6"/>
      <x:c r="C156" s="6"/>
      <x:c r="D156" s="6"/>
      <x:c r="E156" s="6"/>
      <x:c r="F156" s="6"/>
      <x:c r="G156" s="6"/>
      <x:c r="H156" s="7"/>
      <x:c r="I156" s="6"/>
      <x:c r="J156" s="6"/>
      <x:c r="K156" s="7"/>
      <x:c r="L156" s="7"/>
      <x:c r="M156" s="6"/>
      <x:c r="N156" s="9" t="str">
        <x:f>IF(A156="","",IF(COUNTIFS($A$6:$A$205,A156)&gt;1,"Duplicate issue ID",IF(I156="Resolved",IF(OR(L156="",M156=""),"Resolution evidence gap","Resolved"),IF(G156="","Unassigned",IF(OR(I156="",H156="",F156="",J156="",K156=""),"Missing action / evidence",IF(K156&lt;'Dashboard'!$B$4,"Action overdue","Open action"))))))</x:f>
      </x:c>
      <x:c r="O156" s="6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 ht="23" customHeight="1">
      <x:c r="A157" s="6"/>
      <x:c r="B157" s="6"/>
      <x:c r="C157" s="6"/>
      <x:c r="D157" s="6"/>
      <x:c r="E157" s="6"/>
      <x:c r="F157" s="6"/>
      <x:c r="G157" s="6"/>
      <x:c r="H157" s="7"/>
      <x:c r="I157" s="6"/>
      <x:c r="J157" s="6"/>
      <x:c r="K157" s="7"/>
      <x:c r="L157" s="7"/>
      <x:c r="M157" s="6"/>
      <x:c r="N157" s="9" t="str">
        <x:f>IF(A157="","",IF(COUNTIFS($A$6:$A$205,A157)&gt;1,"Duplicate issue ID",IF(I157="Resolved",IF(OR(L157="",M157=""),"Resolution evidence gap","Resolved"),IF(G157="","Unassigned",IF(OR(I157="",H157="",F157="",J157="",K157=""),"Missing action / evidence",IF(K157&lt;'Dashboard'!$B$4,"Action overdue","Open action"))))))</x:f>
      </x:c>
      <x:c r="O157" s="6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 ht="23" customHeight="1">
      <x:c r="A158" s="6"/>
      <x:c r="B158" s="6"/>
      <x:c r="C158" s="6"/>
      <x:c r="D158" s="6"/>
      <x:c r="E158" s="6"/>
      <x:c r="F158" s="6"/>
      <x:c r="G158" s="6"/>
      <x:c r="H158" s="7"/>
      <x:c r="I158" s="6"/>
      <x:c r="J158" s="6"/>
      <x:c r="K158" s="7"/>
      <x:c r="L158" s="7"/>
      <x:c r="M158" s="6"/>
      <x:c r="N158" s="9" t="str">
        <x:f>IF(A158="","",IF(COUNTIFS($A$6:$A$205,A158)&gt;1,"Duplicate issue ID",IF(I158="Resolved",IF(OR(L158="",M158=""),"Resolution evidence gap","Resolved"),IF(G158="","Unassigned",IF(OR(I158="",H158="",F158="",J158="",K158=""),"Missing action / evidence",IF(K158&lt;'Dashboard'!$B$4,"Action overdue","Open action"))))))</x:f>
      </x:c>
      <x:c r="O158" s="6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 ht="23" customHeight="1">
      <x:c r="A159" s="6"/>
      <x:c r="B159" s="6"/>
      <x:c r="C159" s="6"/>
      <x:c r="D159" s="6"/>
      <x:c r="E159" s="6"/>
      <x:c r="F159" s="6"/>
      <x:c r="G159" s="6"/>
      <x:c r="H159" s="7"/>
      <x:c r="I159" s="6"/>
      <x:c r="J159" s="6"/>
      <x:c r="K159" s="7"/>
      <x:c r="L159" s="7"/>
      <x:c r="M159" s="6"/>
      <x:c r="N159" s="9" t="str">
        <x:f>IF(A159="","",IF(COUNTIFS($A$6:$A$205,A159)&gt;1,"Duplicate issue ID",IF(I159="Resolved",IF(OR(L159="",M159=""),"Resolution evidence gap","Resolved"),IF(G159="","Unassigned",IF(OR(I159="",H159="",F159="",J159="",K159=""),"Missing action / evidence",IF(K159&lt;'Dashboard'!$B$4,"Action overdue","Open action"))))))</x:f>
      </x:c>
      <x:c r="O159" s="6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 ht="23" customHeight="1">
      <x:c r="A160" s="6"/>
      <x:c r="B160" s="6"/>
      <x:c r="C160" s="6"/>
      <x:c r="D160" s="6"/>
      <x:c r="E160" s="6"/>
      <x:c r="F160" s="6"/>
      <x:c r="G160" s="6"/>
      <x:c r="H160" s="7"/>
      <x:c r="I160" s="6"/>
      <x:c r="J160" s="6"/>
      <x:c r="K160" s="7"/>
      <x:c r="L160" s="7"/>
      <x:c r="M160" s="6"/>
      <x:c r="N160" s="9" t="str">
        <x:f>IF(A160="","",IF(COUNTIFS($A$6:$A$205,A160)&gt;1,"Duplicate issue ID",IF(I160="Resolved",IF(OR(L160="",M160=""),"Resolution evidence gap","Resolved"),IF(G160="","Unassigned",IF(OR(I160="",H160="",F160="",J160="",K160=""),"Missing action / evidence",IF(K160&lt;'Dashboard'!$B$4,"Action overdue","Open action"))))))</x:f>
      </x:c>
      <x:c r="O160" s="6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 ht="23" customHeight="1">
      <x:c r="A161" s="6"/>
      <x:c r="B161" s="6"/>
      <x:c r="C161" s="6"/>
      <x:c r="D161" s="6"/>
      <x:c r="E161" s="6"/>
      <x:c r="F161" s="6"/>
      <x:c r="G161" s="6"/>
      <x:c r="H161" s="7"/>
      <x:c r="I161" s="6"/>
      <x:c r="J161" s="6"/>
      <x:c r="K161" s="7"/>
      <x:c r="L161" s="7"/>
      <x:c r="M161" s="6"/>
      <x:c r="N161" s="9" t="str">
        <x:f>IF(A161="","",IF(COUNTIFS($A$6:$A$205,A161)&gt;1,"Duplicate issue ID",IF(I161="Resolved",IF(OR(L161="",M161=""),"Resolution evidence gap","Resolved"),IF(G161="","Unassigned",IF(OR(I161="",H161="",F161="",J161="",K161=""),"Missing action / evidence",IF(K161&lt;'Dashboard'!$B$4,"Action overdue","Open action"))))))</x:f>
      </x:c>
      <x:c r="O161" s="6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 ht="23" customHeight="1">
      <x:c r="A162" s="6"/>
      <x:c r="B162" s="6"/>
      <x:c r="C162" s="6"/>
      <x:c r="D162" s="6"/>
      <x:c r="E162" s="6"/>
      <x:c r="F162" s="6"/>
      <x:c r="G162" s="6"/>
      <x:c r="H162" s="7"/>
      <x:c r="I162" s="6"/>
      <x:c r="J162" s="6"/>
      <x:c r="K162" s="7"/>
      <x:c r="L162" s="7"/>
      <x:c r="M162" s="6"/>
      <x:c r="N162" s="9" t="str">
        <x:f>IF(A162="","",IF(COUNTIFS($A$6:$A$205,A162)&gt;1,"Duplicate issue ID",IF(I162="Resolved",IF(OR(L162="",M162=""),"Resolution evidence gap","Resolved"),IF(G162="","Unassigned",IF(OR(I162="",H162="",F162="",J162="",K162=""),"Missing action / evidence",IF(K162&lt;'Dashboard'!$B$4,"Action overdue","Open action"))))))</x:f>
      </x:c>
      <x:c r="O162" s="6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 ht="23" customHeight="1">
      <x:c r="A163" s="6"/>
      <x:c r="B163" s="6"/>
      <x:c r="C163" s="6"/>
      <x:c r="D163" s="6"/>
      <x:c r="E163" s="6"/>
      <x:c r="F163" s="6"/>
      <x:c r="G163" s="6"/>
      <x:c r="H163" s="7"/>
      <x:c r="I163" s="6"/>
      <x:c r="J163" s="6"/>
      <x:c r="K163" s="7"/>
      <x:c r="L163" s="7"/>
      <x:c r="M163" s="6"/>
      <x:c r="N163" s="9" t="str">
        <x:f>IF(A163="","",IF(COUNTIFS($A$6:$A$205,A163)&gt;1,"Duplicate issue ID",IF(I163="Resolved",IF(OR(L163="",M163=""),"Resolution evidence gap","Resolved"),IF(G163="","Unassigned",IF(OR(I163="",H163="",F163="",J163="",K163=""),"Missing action / evidence",IF(K163&lt;'Dashboard'!$B$4,"Action overdue","Open action"))))))</x:f>
      </x:c>
      <x:c r="O163" s="6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 ht="23" customHeight="1">
      <x:c r="A164" s="6"/>
      <x:c r="B164" s="6"/>
      <x:c r="C164" s="6"/>
      <x:c r="D164" s="6"/>
      <x:c r="E164" s="6"/>
      <x:c r="F164" s="6"/>
      <x:c r="G164" s="6"/>
      <x:c r="H164" s="7"/>
      <x:c r="I164" s="6"/>
      <x:c r="J164" s="6"/>
      <x:c r="K164" s="7"/>
      <x:c r="L164" s="7"/>
      <x:c r="M164" s="6"/>
      <x:c r="N164" s="9" t="str">
        <x:f>IF(A164="","",IF(COUNTIFS($A$6:$A$205,A164)&gt;1,"Duplicate issue ID",IF(I164="Resolved",IF(OR(L164="",M164=""),"Resolution evidence gap","Resolved"),IF(G164="","Unassigned",IF(OR(I164="",H164="",F164="",J164="",K164=""),"Missing action / evidence",IF(K164&lt;'Dashboard'!$B$4,"Action overdue","Open action"))))))</x:f>
      </x:c>
      <x:c r="O164" s="6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 ht="23" customHeight="1">
      <x:c r="A165" s="6"/>
      <x:c r="B165" s="6"/>
      <x:c r="C165" s="6"/>
      <x:c r="D165" s="6"/>
      <x:c r="E165" s="6"/>
      <x:c r="F165" s="6"/>
      <x:c r="G165" s="6"/>
      <x:c r="H165" s="7"/>
      <x:c r="I165" s="6"/>
      <x:c r="J165" s="6"/>
      <x:c r="K165" s="7"/>
      <x:c r="L165" s="7"/>
      <x:c r="M165" s="6"/>
      <x:c r="N165" s="9" t="str">
        <x:f>IF(A165="","",IF(COUNTIFS($A$6:$A$205,A165)&gt;1,"Duplicate issue ID",IF(I165="Resolved",IF(OR(L165="",M165=""),"Resolution evidence gap","Resolved"),IF(G165="","Unassigned",IF(OR(I165="",H165="",F165="",J165="",K165=""),"Missing action / evidence",IF(K165&lt;'Dashboard'!$B$4,"Action overdue","Open action"))))))</x:f>
      </x:c>
      <x:c r="O165" s="6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 ht="23" customHeight="1">
      <x:c r="A166" s="6"/>
      <x:c r="B166" s="6"/>
      <x:c r="C166" s="6"/>
      <x:c r="D166" s="6"/>
      <x:c r="E166" s="6"/>
      <x:c r="F166" s="6"/>
      <x:c r="G166" s="6"/>
      <x:c r="H166" s="7"/>
      <x:c r="I166" s="6"/>
      <x:c r="J166" s="6"/>
      <x:c r="K166" s="7"/>
      <x:c r="L166" s="7"/>
      <x:c r="M166" s="6"/>
      <x:c r="N166" s="9" t="str">
        <x:f>IF(A166="","",IF(COUNTIFS($A$6:$A$205,A166)&gt;1,"Duplicate issue ID",IF(I166="Resolved",IF(OR(L166="",M166=""),"Resolution evidence gap","Resolved"),IF(G166="","Unassigned",IF(OR(I166="",H166="",F166="",J166="",K166=""),"Missing action / evidence",IF(K166&lt;'Dashboard'!$B$4,"Action overdue","Open action"))))))</x:f>
      </x:c>
      <x:c r="O166" s="6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 ht="23" customHeight="1">
      <x:c r="A167" s="6"/>
      <x:c r="B167" s="6"/>
      <x:c r="C167" s="6"/>
      <x:c r="D167" s="6"/>
      <x:c r="E167" s="6"/>
      <x:c r="F167" s="6"/>
      <x:c r="G167" s="6"/>
      <x:c r="H167" s="7"/>
      <x:c r="I167" s="6"/>
      <x:c r="J167" s="6"/>
      <x:c r="K167" s="7"/>
      <x:c r="L167" s="7"/>
      <x:c r="M167" s="6"/>
      <x:c r="N167" s="9" t="str">
        <x:f>IF(A167="","",IF(COUNTIFS($A$6:$A$205,A167)&gt;1,"Duplicate issue ID",IF(I167="Resolved",IF(OR(L167="",M167=""),"Resolution evidence gap","Resolved"),IF(G167="","Unassigned",IF(OR(I167="",H167="",F167="",J167="",K167=""),"Missing action / evidence",IF(K167&lt;'Dashboard'!$B$4,"Action overdue","Open action"))))))</x:f>
      </x:c>
      <x:c r="O167" s="6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 ht="23" customHeight="1">
      <x:c r="A168" s="6"/>
      <x:c r="B168" s="6"/>
      <x:c r="C168" s="6"/>
      <x:c r="D168" s="6"/>
      <x:c r="E168" s="6"/>
      <x:c r="F168" s="6"/>
      <x:c r="G168" s="6"/>
      <x:c r="H168" s="7"/>
      <x:c r="I168" s="6"/>
      <x:c r="J168" s="6"/>
      <x:c r="K168" s="7"/>
      <x:c r="L168" s="7"/>
      <x:c r="M168" s="6"/>
      <x:c r="N168" s="9" t="str">
        <x:f>IF(A168="","",IF(COUNTIFS($A$6:$A$205,A168)&gt;1,"Duplicate issue ID",IF(I168="Resolved",IF(OR(L168="",M168=""),"Resolution evidence gap","Resolved"),IF(G168="","Unassigned",IF(OR(I168="",H168="",F168="",J168="",K168=""),"Missing action / evidence",IF(K168&lt;'Dashboard'!$B$4,"Action overdue","Open action"))))))</x:f>
      </x:c>
      <x:c r="O168" s="6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 ht="23" customHeight="1">
      <x:c r="A169" s="6"/>
      <x:c r="B169" s="6"/>
      <x:c r="C169" s="6"/>
      <x:c r="D169" s="6"/>
      <x:c r="E169" s="6"/>
      <x:c r="F169" s="6"/>
      <x:c r="G169" s="6"/>
      <x:c r="H169" s="7"/>
      <x:c r="I169" s="6"/>
      <x:c r="J169" s="6"/>
      <x:c r="K169" s="7"/>
      <x:c r="L169" s="7"/>
      <x:c r="M169" s="6"/>
      <x:c r="N169" s="9" t="str">
        <x:f>IF(A169="","",IF(COUNTIFS($A$6:$A$205,A169)&gt;1,"Duplicate issue ID",IF(I169="Resolved",IF(OR(L169="",M169=""),"Resolution evidence gap","Resolved"),IF(G169="","Unassigned",IF(OR(I169="",H169="",F169="",J169="",K169=""),"Missing action / evidence",IF(K169&lt;'Dashboard'!$B$4,"Action overdue","Open action"))))))</x:f>
      </x:c>
      <x:c r="O169" s="6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 ht="23" customHeight="1">
      <x:c r="A170" s="6"/>
      <x:c r="B170" s="6"/>
      <x:c r="C170" s="6"/>
      <x:c r="D170" s="6"/>
      <x:c r="E170" s="6"/>
      <x:c r="F170" s="6"/>
      <x:c r="G170" s="6"/>
      <x:c r="H170" s="7"/>
      <x:c r="I170" s="6"/>
      <x:c r="J170" s="6"/>
      <x:c r="K170" s="7"/>
      <x:c r="L170" s="7"/>
      <x:c r="M170" s="6"/>
      <x:c r="N170" s="9" t="str">
        <x:f>IF(A170="","",IF(COUNTIFS($A$6:$A$205,A170)&gt;1,"Duplicate issue ID",IF(I170="Resolved",IF(OR(L170="",M170=""),"Resolution evidence gap","Resolved"),IF(G170="","Unassigned",IF(OR(I170="",H170="",F170="",J170="",K170=""),"Missing action / evidence",IF(K170&lt;'Dashboard'!$B$4,"Action overdue","Open action"))))))</x:f>
      </x:c>
      <x:c r="O170" s="6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 ht="23" customHeight="1">
      <x:c r="A171" s="6"/>
      <x:c r="B171" s="6"/>
      <x:c r="C171" s="6"/>
      <x:c r="D171" s="6"/>
      <x:c r="E171" s="6"/>
      <x:c r="F171" s="6"/>
      <x:c r="G171" s="6"/>
      <x:c r="H171" s="7"/>
      <x:c r="I171" s="6"/>
      <x:c r="J171" s="6"/>
      <x:c r="K171" s="7"/>
      <x:c r="L171" s="7"/>
      <x:c r="M171" s="6"/>
      <x:c r="N171" s="9" t="str">
        <x:f>IF(A171="","",IF(COUNTIFS($A$6:$A$205,A171)&gt;1,"Duplicate issue ID",IF(I171="Resolved",IF(OR(L171="",M171=""),"Resolution evidence gap","Resolved"),IF(G171="","Unassigned",IF(OR(I171="",H171="",F171="",J171="",K171=""),"Missing action / evidence",IF(K171&lt;'Dashboard'!$B$4,"Action overdue","Open action"))))))</x:f>
      </x:c>
      <x:c r="O171" s="6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 ht="23" customHeight="1">
      <x:c r="A172" s="6"/>
      <x:c r="B172" s="6"/>
      <x:c r="C172" s="6"/>
      <x:c r="D172" s="6"/>
      <x:c r="E172" s="6"/>
      <x:c r="F172" s="6"/>
      <x:c r="G172" s="6"/>
      <x:c r="H172" s="7"/>
      <x:c r="I172" s="6"/>
      <x:c r="J172" s="6"/>
      <x:c r="K172" s="7"/>
      <x:c r="L172" s="7"/>
      <x:c r="M172" s="6"/>
      <x:c r="N172" s="9" t="str">
        <x:f>IF(A172="","",IF(COUNTIFS($A$6:$A$205,A172)&gt;1,"Duplicate issue ID",IF(I172="Resolved",IF(OR(L172="",M172=""),"Resolution evidence gap","Resolved"),IF(G172="","Unassigned",IF(OR(I172="",H172="",F172="",J172="",K172=""),"Missing action / evidence",IF(K172&lt;'Dashboard'!$B$4,"Action overdue","Open action"))))))</x:f>
      </x:c>
      <x:c r="O172" s="6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 ht="23" customHeight="1">
      <x:c r="A173" s="6"/>
      <x:c r="B173" s="6"/>
      <x:c r="C173" s="6"/>
      <x:c r="D173" s="6"/>
      <x:c r="E173" s="6"/>
      <x:c r="F173" s="6"/>
      <x:c r="G173" s="6"/>
      <x:c r="H173" s="7"/>
      <x:c r="I173" s="6"/>
      <x:c r="J173" s="6"/>
      <x:c r="K173" s="7"/>
      <x:c r="L173" s="7"/>
      <x:c r="M173" s="6"/>
      <x:c r="N173" s="9" t="str">
        <x:f>IF(A173="","",IF(COUNTIFS($A$6:$A$205,A173)&gt;1,"Duplicate issue ID",IF(I173="Resolved",IF(OR(L173="",M173=""),"Resolution evidence gap","Resolved"),IF(G173="","Unassigned",IF(OR(I173="",H173="",F173="",J173="",K173=""),"Missing action / evidence",IF(K173&lt;'Dashboard'!$B$4,"Action overdue","Open action"))))))</x:f>
      </x:c>
      <x:c r="O173" s="6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 ht="23" customHeight="1">
      <x:c r="A174" s="6"/>
      <x:c r="B174" s="6"/>
      <x:c r="C174" s="6"/>
      <x:c r="D174" s="6"/>
      <x:c r="E174" s="6"/>
      <x:c r="F174" s="6"/>
      <x:c r="G174" s="6"/>
      <x:c r="H174" s="7"/>
      <x:c r="I174" s="6"/>
      <x:c r="J174" s="6"/>
      <x:c r="K174" s="7"/>
      <x:c r="L174" s="7"/>
      <x:c r="M174" s="6"/>
      <x:c r="N174" s="9" t="str">
        <x:f>IF(A174="","",IF(COUNTIFS($A$6:$A$205,A174)&gt;1,"Duplicate issue ID",IF(I174="Resolved",IF(OR(L174="",M174=""),"Resolution evidence gap","Resolved"),IF(G174="","Unassigned",IF(OR(I174="",H174="",F174="",J174="",K174=""),"Missing action / evidence",IF(K174&lt;'Dashboard'!$B$4,"Action overdue","Open action"))))))</x:f>
      </x:c>
      <x:c r="O174" s="6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 ht="23" customHeight="1">
      <x:c r="A175" s="6"/>
      <x:c r="B175" s="6"/>
      <x:c r="C175" s="6"/>
      <x:c r="D175" s="6"/>
      <x:c r="E175" s="6"/>
      <x:c r="F175" s="6"/>
      <x:c r="G175" s="6"/>
      <x:c r="H175" s="7"/>
      <x:c r="I175" s="6"/>
      <x:c r="J175" s="6"/>
      <x:c r="K175" s="7"/>
      <x:c r="L175" s="7"/>
      <x:c r="M175" s="6"/>
      <x:c r="N175" s="9" t="str">
        <x:f>IF(A175="","",IF(COUNTIFS($A$6:$A$205,A175)&gt;1,"Duplicate issue ID",IF(I175="Resolved",IF(OR(L175="",M175=""),"Resolution evidence gap","Resolved"),IF(G175="","Unassigned",IF(OR(I175="",H175="",F175="",J175="",K175=""),"Missing action / evidence",IF(K175&lt;'Dashboard'!$B$4,"Action overdue","Open action"))))))</x:f>
      </x:c>
      <x:c r="O175" s="6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 ht="23" customHeight="1">
      <x:c r="A176" s="6"/>
      <x:c r="B176" s="6"/>
      <x:c r="C176" s="6"/>
      <x:c r="D176" s="6"/>
      <x:c r="E176" s="6"/>
      <x:c r="F176" s="6"/>
      <x:c r="G176" s="6"/>
      <x:c r="H176" s="7"/>
      <x:c r="I176" s="6"/>
      <x:c r="J176" s="6"/>
      <x:c r="K176" s="7"/>
      <x:c r="L176" s="7"/>
      <x:c r="M176" s="6"/>
      <x:c r="N176" s="9" t="str">
        <x:f>IF(A176="","",IF(COUNTIFS($A$6:$A$205,A176)&gt;1,"Duplicate issue ID",IF(I176="Resolved",IF(OR(L176="",M176=""),"Resolution evidence gap","Resolved"),IF(G176="","Unassigned",IF(OR(I176="",H176="",F176="",J176="",K176=""),"Missing action / evidence",IF(K176&lt;'Dashboard'!$B$4,"Action overdue","Open action"))))))</x:f>
      </x:c>
      <x:c r="O176" s="6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 ht="23" customHeight="1">
      <x:c r="A177" s="6"/>
      <x:c r="B177" s="6"/>
      <x:c r="C177" s="6"/>
      <x:c r="D177" s="6"/>
      <x:c r="E177" s="6"/>
      <x:c r="F177" s="6"/>
      <x:c r="G177" s="6"/>
      <x:c r="H177" s="7"/>
      <x:c r="I177" s="6"/>
      <x:c r="J177" s="6"/>
      <x:c r="K177" s="7"/>
      <x:c r="L177" s="7"/>
      <x:c r="M177" s="6"/>
      <x:c r="N177" s="9" t="str">
        <x:f>IF(A177="","",IF(COUNTIFS($A$6:$A$205,A177)&gt;1,"Duplicate issue ID",IF(I177="Resolved",IF(OR(L177="",M177=""),"Resolution evidence gap","Resolved"),IF(G177="","Unassigned",IF(OR(I177="",H177="",F177="",J177="",K177=""),"Missing action / evidence",IF(K177&lt;'Dashboard'!$B$4,"Action overdue","Open action"))))))</x:f>
      </x:c>
      <x:c r="O177" s="6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 ht="23" customHeight="1">
      <x:c r="A178" s="6"/>
      <x:c r="B178" s="6"/>
      <x:c r="C178" s="6"/>
      <x:c r="D178" s="6"/>
      <x:c r="E178" s="6"/>
      <x:c r="F178" s="6"/>
      <x:c r="G178" s="6"/>
      <x:c r="H178" s="7"/>
      <x:c r="I178" s="6"/>
      <x:c r="J178" s="6"/>
      <x:c r="K178" s="7"/>
      <x:c r="L178" s="7"/>
      <x:c r="M178" s="6"/>
      <x:c r="N178" s="9" t="str">
        <x:f>IF(A178="","",IF(COUNTIFS($A$6:$A$205,A178)&gt;1,"Duplicate issue ID",IF(I178="Resolved",IF(OR(L178="",M178=""),"Resolution evidence gap","Resolved"),IF(G178="","Unassigned",IF(OR(I178="",H178="",F178="",J178="",K178=""),"Missing action / evidence",IF(K178&lt;'Dashboard'!$B$4,"Action overdue","Open action"))))))</x:f>
      </x:c>
      <x:c r="O178" s="6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 ht="23" customHeight="1">
      <x:c r="A179" s="6"/>
      <x:c r="B179" s="6"/>
      <x:c r="C179" s="6"/>
      <x:c r="D179" s="6"/>
      <x:c r="E179" s="6"/>
      <x:c r="F179" s="6"/>
      <x:c r="G179" s="6"/>
      <x:c r="H179" s="7"/>
      <x:c r="I179" s="6"/>
      <x:c r="J179" s="6"/>
      <x:c r="K179" s="7"/>
      <x:c r="L179" s="7"/>
      <x:c r="M179" s="6"/>
      <x:c r="N179" s="9" t="str">
        <x:f>IF(A179="","",IF(COUNTIFS($A$6:$A$205,A179)&gt;1,"Duplicate issue ID",IF(I179="Resolved",IF(OR(L179="",M179=""),"Resolution evidence gap","Resolved"),IF(G179="","Unassigned",IF(OR(I179="",H179="",F179="",J179="",K179=""),"Missing action / evidence",IF(K179&lt;'Dashboard'!$B$4,"Action overdue","Open action"))))))</x:f>
      </x:c>
      <x:c r="O179" s="6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 ht="23" customHeight="1">
      <x:c r="A180" s="6"/>
      <x:c r="B180" s="6"/>
      <x:c r="C180" s="6"/>
      <x:c r="D180" s="6"/>
      <x:c r="E180" s="6"/>
      <x:c r="F180" s="6"/>
      <x:c r="G180" s="6"/>
      <x:c r="H180" s="7"/>
      <x:c r="I180" s="6"/>
      <x:c r="J180" s="6"/>
      <x:c r="K180" s="7"/>
      <x:c r="L180" s="7"/>
      <x:c r="M180" s="6"/>
      <x:c r="N180" s="9" t="str">
        <x:f>IF(A180="","",IF(COUNTIFS($A$6:$A$205,A180)&gt;1,"Duplicate issue ID",IF(I180="Resolved",IF(OR(L180="",M180=""),"Resolution evidence gap","Resolved"),IF(G180="","Unassigned",IF(OR(I180="",H180="",F180="",J180="",K180=""),"Missing action / evidence",IF(K180&lt;'Dashboard'!$B$4,"Action overdue","Open action"))))))</x:f>
      </x:c>
      <x:c r="O180" s="6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 ht="23" customHeight="1">
      <x:c r="A181" s="6"/>
      <x:c r="B181" s="6"/>
      <x:c r="C181" s="6"/>
      <x:c r="D181" s="6"/>
      <x:c r="E181" s="6"/>
      <x:c r="F181" s="6"/>
      <x:c r="G181" s="6"/>
      <x:c r="H181" s="7"/>
      <x:c r="I181" s="6"/>
      <x:c r="J181" s="6"/>
      <x:c r="K181" s="7"/>
      <x:c r="L181" s="7"/>
      <x:c r="M181" s="6"/>
      <x:c r="N181" s="9" t="str">
        <x:f>IF(A181="","",IF(COUNTIFS($A$6:$A$205,A181)&gt;1,"Duplicate issue ID",IF(I181="Resolved",IF(OR(L181="",M181=""),"Resolution evidence gap","Resolved"),IF(G181="","Unassigned",IF(OR(I181="",H181="",F181="",J181="",K181=""),"Missing action / evidence",IF(K181&lt;'Dashboard'!$B$4,"Action overdue","Open action"))))))</x:f>
      </x:c>
      <x:c r="O181" s="6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 ht="23" customHeight="1">
      <x:c r="A182" s="6"/>
      <x:c r="B182" s="6"/>
      <x:c r="C182" s="6"/>
      <x:c r="D182" s="6"/>
      <x:c r="E182" s="6"/>
      <x:c r="F182" s="6"/>
      <x:c r="G182" s="6"/>
      <x:c r="H182" s="7"/>
      <x:c r="I182" s="6"/>
      <x:c r="J182" s="6"/>
      <x:c r="K182" s="7"/>
      <x:c r="L182" s="7"/>
      <x:c r="M182" s="6"/>
      <x:c r="N182" s="9" t="str">
        <x:f>IF(A182="","",IF(COUNTIFS($A$6:$A$205,A182)&gt;1,"Duplicate issue ID",IF(I182="Resolved",IF(OR(L182="",M182=""),"Resolution evidence gap","Resolved"),IF(G182="","Unassigned",IF(OR(I182="",H182="",F182="",J182="",K182=""),"Missing action / evidence",IF(K182&lt;'Dashboard'!$B$4,"Action overdue","Open action"))))))</x:f>
      </x:c>
      <x:c r="O182" s="6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 ht="23" customHeight="1">
      <x:c r="A183" s="6"/>
      <x:c r="B183" s="6"/>
      <x:c r="C183" s="6"/>
      <x:c r="D183" s="6"/>
      <x:c r="E183" s="6"/>
      <x:c r="F183" s="6"/>
      <x:c r="G183" s="6"/>
      <x:c r="H183" s="7"/>
      <x:c r="I183" s="6"/>
      <x:c r="J183" s="6"/>
      <x:c r="K183" s="7"/>
      <x:c r="L183" s="7"/>
      <x:c r="M183" s="6"/>
      <x:c r="N183" s="9" t="str">
        <x:f>IF(A183="","",IF(COUNTIFS($A$6:$A$205,A183)&gt;1,"Duplicate issue ID",IF(I183="Resolved",IF(OR(L183="",M183=""),"Resolution evidence gap","Resolved"),IF(G183="","Unassigned",IF(OR(I183="",H183="",F183="",J183="",K183=""),"Missing action / evidence",IF(K183&lt;'Dashboard'!$B$4,"Action overdue","Open action"))))))</x:f>
      </x:c>
      <x:c r="O183" s="6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 ht="23" customHeight="1">
      <x:c r="A184" s="6"/>
      <x:c r="B184" s="6"/>
      <x:c r="C184" s="6"/>
      <x:c r="D184" s="6"/>
      <x:c r="E184" s="6"/>
      <x:c r="F184" s="6"/>
      <x:c r="G184" s="6"/>
      <x:c r="H184" s="7"/>
      <x:c r="I184" s="6"/>
      <x:c r="J184" s="6"/>
      <x:c r="K184" s="7"/>
      <x:c r="L184" s="7"/>
      <x:c r="M184" s="6"/>
      <x:c r="N184" s="9" t="str">
        <x:f>IF(A184="","",IF(COUNTIFS($A$6:$A$205,A184)&gt;1,"Duplicate issue ID",IF(I184="Resolved",IF(OR(L184="",M184=""),"Resolution evidence gap","Resolved"),IF(G184="","Unassigned",IF(OR(I184="",H184="",F184="",J184="",K184=""),"Missing action / evidence",IF(K184&lt;'Dashboard'!$B$4,"Action overdue","Open action"))))))</x:f>
      </x:c>
      <x:c r="O184" s="6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 ht="23" customHeight="1">
      <x:c r="A185" s="6"/>
      <x:c r="B185" s="6"/>
      <x:c r="C185" s="6"/>
      <x:c r="D185" s="6"/>
      <x:c r="E185" s="6"/>
      <x:c r="F185" s="6"/>
      <x:c r="G185" s="6"/>
      <x:c r="H185" s="7"/>
      <x:c r="I185" s="6"/>
      <x:c r="J185" s="6"/>
      <x:c r="K185" s="7"/>
      <x:c r="L185" s="7"/>
      <x:c r="M185" s="6"/>
      <x:c r="N185" s="9" t="str">
        <x:f>IF(A185="","",IF(COUNTIFS($A$6:$A$205,A185)&gt;1,"Duplicate issue ID",IF(I185="Resolved",IF(OR(L185="",M185=""),"Resolution evidence gap","Resolved"),IF(G185="","Unassigned",IF(OR(I185="",H185="",F185="",J185="",K185=""),"Missing action / evidence",IF(K185&lt;'Dashboard'!$B$4,"Action overdue","Open action"))))))</x:f>
      </x:c>
      <x:c r="O185" s="6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 ht="23" customHeight="1">
      <x:c r="A186" s="6"/>
      <x:c r="B186" s="6"/>
      <x:c r="C186" s="6"/>
      <x:c r="D186" s="6"/>
      <x:c r="E186" s="6"/>
      <x:c r="F186" s="6"/>
      <x:c r="G186" s="6"/>
      <x:c r="H186" s="7"/>
      <x:c r="I186" s="6"/>
      <x:c r="J186" s="6"/>
      <x:c r="K186" s="7"/>
      <x:c r="L186" s="7"/>
      <x:c r="M186" s="6"/>
      <x:c r="N186" s="9" t="str">
        <x:f>IF(A186="","",IF(COUNTIFS($A$6:$A$205,A186)&gt;1,"Duplicate issue ID",IF(I186="Resolved",IF(OR(L186="",M186=""),"Resolution evidence gap","Resolved"),IF(G186="","Unassigned",IF(OR(I186="",H186="",F186="",J186="",K186=""),"Missing action / evidence",IF(K186&lt;'Dashboard'!$B$4,"Action overdue","Open action"))))))</x:f>
      </x:c>
      <x:c r="O186" s="6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 ht="23" customHeight="1">
      <x:c r="A187" s="6"/>
      <x:c r="B187" s="6"/>
      <x:c r="C187" s="6"/>
      <x:c r="D187" s="6"/>
      <x:c r="E187" s="6"/>
      <x:c r="F187" s="6"/>
      <x:c r="G187" s="6"/>
      <x:c r="H187" s="7"/>
      <x:c r="I187" s="6"/>
      <x:c r="J187" s="6"/>
      <x:c r="K187" s="7"/>
      <x:c r="L187" s="7"/>
      <x:c r="M187" s="6"/>
      <x:c r="N187" s="9" t="str">
        <x:f>IF(A187="","",IF(COUNTIFS($A$6:$A$205,A187)&gt;1,"Duplicate issue ID",IF(I187="Resolved",IF(OR(L187="",M187=""),"Resolution evidence gap","Resolved"),IF(G187="","Unassigned",IF(OR(I187="",H187="",F187="",J187="",K187=""),"Missing action / evidence",IF(K187&lt;'Dashboard'!$B$4,"Action overdue","Open action"))))))</x:f>
      </x:c>
      <x:c r="O187" s="6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 ht="23" customHeight="1">
      <x:c r="A188" s="6"/>
      <x:c r="B188" s="6"/>
      <x:c r="C188" s="6"/>
      <x:c r="D188" s="6"/>
      <x:c r="E188" s="6"/>
      <x:c r="F188" s="6"/>
      <x:c r="G188" s="6"/>
      <x:c r="H188" s="7"/>
      <x:c r="I188" s="6"/>
      <x:c r="J188" s="6"/>
      <x:c r="K188" s="7"/>
      <x:c r="L188" s="7"/>
      <x:c r="M188" s="6"/>
      <x:c r="N188" s="9" t="str">
        <x:f>IF(A188="","",IF(COUNTIFS($A$6:$A$205,A188)&gt;1,"Duplicate issue ID",IF(I188="Resolved",IF(OR(L188="",M188=""),"Resolution evidence gap","Resolved"),IF(G188="","Unassigned",IF(OR(I188="",H188="",F188="",J188="",K188=""),"Missing action / evidence",IF(K188&lt;'Dashboard'!$B$4,"Action overdue","Open action"))))))</x:f>
      </x:c>
      <x:c r="O188" s="6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 ht="23" customHeight="1">
      <x:c r="A189" s="6"/>
      <x:c r="B189" s="6"/>
      <x:c r="C189" s="6"/>
      <x:c r="D189" s="6"/>
      <x:c r="E189" s="6"/>
      <x:c r="F189" s="6"/>
      <x:c r="G189" s="6"/>
      <x:c r="H189" s="7"/>
      <x:c r="I189" s="6"/>
      <x:c r="J189" s="6"/>
      <x:c r="K189" s="7"/>
      <x:c r="L189" s="7"/>
      <x:c r="M189" s="6"/>
      <x:c r="N189" s="9" t="str">
        <x:f>IF(A189="","",IF(COUNTIFS($A$6:$A$205,A189)&gt;1,"Duplicate issue ID",IF(I189="Resolved",IF(OR(L189="",M189=""),"Resolution evidence gap","Resolved"),IF(G189="","Unassigned",IF(OR(I189="",H189="",F189="",J189="",K189=""),"Missing action / evidence",IF(K189&lt;'Dashboard'!$B$4,"Action overdue","Open action"))))))</x:f>
      </x:c>
      <x:c r="O189" s="6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 ht="23" customHeight="1">
      <x:c r="A190" s="6"/>
      <x:c r="B190" s="6"/>
      <x:c r="C190" s="6"/>
      <x:c r="D190" s="6"/>
      <x:c r="E190" s="6"/>
      <x:c r="F190" s="6"/>
      <x:c r="G190" s="6"/>
      <x:c r="H190" s="7"/>
      <x:c r="I190" s="6"/>
      <x:c r="J190" s="6"/>
      <x:c r="K190" s="7"/>
      <x:c r="L190" s="7"/>
      <x:c r="M190" s="6"/>
      <x:c r="N190" s="9" t="str">
        <x:f>IF(A190="","",IF(COUNTIFS($A$6:$A$205,A190)&gt;1,"Duplicate issue ID",IF(I190="Resolved",IF(OR(L190="",M190=""),"Resolution evidence gap","Resolved"),IF(G190="","Unassigned",IF(OR(I190="",H190="",F190="",J190="",K190=""),"Missing action / evidence",IF(K190&lt;'Dashboard'!$B$4,"Action overdue","Open action"))))))</x:f>
      </x:c>
      <x:c r="O190" s="6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 ht="23" customHeight="1">
      <x:c r="A191" s="6"/>
      <x:c r="B191" s="6"/>
      <x:c r="C191" s="6"/>
      <x:c r="D191" s="6"/>
      <x:c r="E191" s="6"/>
      <x:c r="F191" s="6"/>
      <x:c r="G191" s="6"/>
      <x:c r="H191" s="7"/>
      <x:c r="I191" s="6"/>
      <x:c r="J191" s="6"/>
      <x:c r="K191" s="7"/>
      <x:c r="L191" s="7"/>
      <x:c r="M191" s="6"/>
      <x:c r="N191" s="9" t="str">
        <x:f>IF(A191="","",IF(COUNTIFS($A$6:$A$205,A191)&gt;1,"Duplicate issue ID",IF(I191="Resolved",IF(OR(L191="",M191=""),"Resolution evidence gap","Resolved"),IF(G191="","Unassigned",IF(OR(I191="",H191="",F191="",J191="",K191=""),"Missing action / evidence",IF(K191&lt;'Dashboard'!$B$4,"Action overdue","Open action"))))))</x:f>
      </x:c>
      <x:c r="O191" s="6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 ht="23" customHeight="1">
      <x:c r="A192" s="6"/>
      <x:c r="B192" s="6"/>
      <x:c r="C192" s="6"/>
      <x:c r="D192" s="6"/>
      <x:c r="E192" s="6"/>
      <x:c r="F192" s="6"/>
      <x:c r="G192" s="6"/>
      <x:c r="H192" s="7"/>
      <x:c r="I192" s="6"/>
      <x:c r="J192" s="6"/>
      <x:c r="K192" s="7"/>
      <x:c r="L192" s="7"/>
      <x:c r="M192" s="6"/>
      <x:c r="N192" s="9" t="str">
        <x:f>IF(A192="","",IF(COUNTIFS($A$6:$A$205,A192)&gt;1,"Duplicate issue ID",IF(I192="Resolved",IF(OR(L192="",M192=""),"Resolution evidence gap","Resolved"),IF(G192="","Unassigned",IF(OR(I192="",H192="",F192="",J192="",K192=""),"Missing action / evidence",IF(K192&lt;'Dashboard'!$B$4,"Action overdue","Open action"))))))</x:f>
      </x:c>
      <x:c r="O192" s="6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 ht="23" customHeight="1">
      <x:c r="A193" s="6"/>
      <x:c r="B193" s="6"/>
      <x:c r="C193" s="6"/>
      <x:c r="D193" s="6"/>
      <x:c r="E193" s="6"/>
      <x:c r="F193" s="6"/>
      <x:c r="G193" s="6"/>
      <x:c r="H193" s="7"/>
      <x:c r="I193" s="6"/>
      <x:c r="J193" s="6"/>
      <x:c r="K193" s="7"/>
      <x:c r="L193" s="7"/>
      <x:c r="M193" s="6"/>
      <x:c r="N193" s="9" t="str">
        <x:f>IF(A193="","",IF(COUNTIFS($A$6:$A$205,A193)&gt;1,"Duplicate issue ID",IF(I193="Resolved",IF(OR(L193="",M193=""),"Resolution evidence gap","Resolved"),IF(G193="","Unassigned",IF(OR(I193="",H193="",F193="",J193="",K193=""),"Missing action / evidence",IF(K193&lt;'Dashboard'!$B$4,"Action overdue","Open action"))))))</x:f>
      </x:c>
      <x:c r="O193" s="6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 ht="23" customHeight="1">
      <x:c r="A194" s="6"/>
      <x:c r="B194" s="6"/>
      <x:c r="C194" s="6"/>
      <x:c r="D194" s="6"/>
      <x:c r="E194" s="6"/>
      <x:c r="F194" s="6"/>
      <x:c r="G194" s="6"/>
      <x:c r="H194" s="7"/>
      <x:c r="I194" s="6"/>
      <x:c r="J194" s="6"/>
      <x:c r="K194" s="7"/>
      <x:c r="L194" s="7"/>
      <x:c r="M194" s="6"/>
      <x:c r="N194" s="9" t="str">
        <x:f>IF(A194="","",IF(COUNTIFS($A$6:$A$205,A194)&gt;1,"Duplicate issue ID",IF(I194="Resolved",IF(OR(L194="",M194=""),"Resolution evidence gap","Resolved"),IF(G194="","Unassigned",IF(OR(I194="",H194="",F194="",J194="",K194=""),"Missing action / evidence",IF(K194&lt;'Dashboard'!$B$4,"Action overdue","Open action"))))))</x:f>
      </x:c>
      <x:c r="O194" s="6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 ht="23" customHeight="1">
      <x:c r="A195" s="6"/>
      <x:c r="B195" s="6"/>
      <x:c r="C195" s="6"/>
      <x:c r="D195" s="6"/>
      <x:c r="E195" s="6"/>
      <x:c r="F195" s="6"/>
      <x:c r="G195" s="6"/>
      <x:c r="H195" s="7"/>
      <x:c r="I195" s="6"/>
      <x:c r="J195" s="6"/>
      <x:c r="K195" s="7"/>
      <x:c r="L195" s="7"/>
      <x:c r="M195" s="6"/>
      <x:c r="N195" s="9" t="str">
        <x:f>IF(A195="","",IF(COUNTIFS($A$6:$A$205,A195)&gt;1,"Duplicate issue ID",IF(I195="Resolved",IF(OR(L195="",M195=""),"Resolution evidence gap","Resolved"),IF(G195="","Unassigned",IF(OR(I195="",H195="",F195="",J195="",K195=""),"Missing action / evidence",IF(K195&lt;'Dashboard'!$B$4,"Action overdue","Open action"))))))</x:f>
      </x:c>
      <x:c r="O195" s="6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 ht="23" customHeight="1">
      <x:c r="A196" s="6"/>
      <x:c r="B196" s="6"/>
      <x:c r="C196" s="6"/>
      <x:c r="D196" s="6"/>
      <x:c r="E196" s="6"/>
      <x:c r="F196" s="6"/>
      <x:c r="G196" s="6"/>
      <x:c r="H196" s="7"/>
      <x:c r="I196" s="6"/>
      <x:c r="J196" s="6"/>
      <x:c r="K196" s="7"/>
      <x:c r="L196" s="7"/>
      <x:c r="M196" s="6"/>
      <x:c r="N196" s="9" t="str">
        <x:f>IF(A196="","",IF(COUNTIFS($A$6:$A$205,A196)&gt;1,"Duplicate issue ID",IF(I196="Resolved",IF(OR(L196="",M196=""),"Resolution evidence gap","Resolved"),IF(G196="","Unassigned",IF(OR(I196="",H196="",F196="",J196="",K196=""),"Missing action / evidence",IF(K196&lt;'Dashboard'!$B$4,"Action overdue","Open action"))))))</x:f>
      </x:c>
      <x:c r="O196" s="6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 ht="23" customHeight="1">
      <x:c r="A197" s="6"/>
      <x:c r="B197" s="6"/>
      <x:c r="C197" s="6"/>
      <x:c r="D197" s="6"/>
      <x:c r="E197" s="6"/>
      <x:c r="F197" s="6"/>
      <x:c r="G197" s="6"/>
      <x:c r="H197" s="7"/>
      <x:c r="I197" s="6"/>
      <x:c r="J197" s="6"/>
      <x:c r="K197" s="7"/>
      <x:c r="L197" s="7"/>
      <x:c r="M197" s="6"/>
      <x:c r="N197" s="9" t="str">
        <x:f>IF(A197="","",IF(COUNTIFS($A$6:$A$205,A197)&gt;1,"Duplicate issue ID",IF(I197="Resolved",IF(OR(L197="",M197=""),"Resolution evidence gap","Resolved"),IF(G197="","Unassigned",IF(OR(I197="",H197="",F197="",J197="",K197=""),"Missing action / evidence",IF(K197&lt;'Dashboard'!$B$4,"Action overdue","Open action"))))))</x:f>
      </x:c>
      <x:c r="O197" s="6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 ht="23" customHeight="1">
      <x:c r="A198" s="6"/>
      <x:c r="B198" s="6"/>
      <x:c r="C198" s="6"/>
      <x:c r="D198" s="6"/>
      <x:c r="E198" s="6"/>
      <x:c r="F198" s="6"/>
      <x:c r="G198" s="6"/>
      <x:c r="H198" s="7"/>
      <x:c r="I198" s="6"/>
      <x:c r="J198" s="6"/>
      <x:c r="K198" s="7"/>
      <x:c r="L198" s="7"/>
      <x:c r="M198" s="6"/>
      <x:c r="N198" s="9" t="str">
        <x:f>IF(A198="","",IF(COUNTIFS($A$6:$A$205,A198)&gt;1,"Duplicate issue ID",IF(I198="Resolved",IF(OR(L198="",M198=""),"Resolution evidence gap","Resolved"),IF(G198="","Unassigned",IF(OR(I198="",H198="",F198="",J198="",K198=""),"Missing action / evidence",IF(K198&lt;'Dashboard'!$B$4,"Action overdue","Open action"))))))</x:f>
      </x:c>
      <x:c r="O198" s="6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 ht="23" customHeight="1">
      <x:c r="A199" s="6"/>
      <x:c r="B199" s="6"/>
      <x:c r="C199" s="6"/>
      <x:c r="D199" s="6"/>
      <x:c r="E199" s="6"/>
      <x:c r="F199" s="6"/>
      <x:c r="G199" s="6"/>
      <x:c r="H199" s="7"/>
      <x:c r="I199" s="6"/>
      <x:c r="J199" s="6"/>
      <x:c r="K199" s="7"/>
      <x:c r="L199" s="7"/>
      <x:c r="M199" s="6"/>
      <x:c r="N199" s="9" t="str">
        <x:f>IF(A199="","",IF(COUNTIFS($A$6:$A$205,A199)&gt;1,"Duplicate issue ID",IF(I199="Resolved",IF(OR(L199="",M199=""),"Resolution evidence gap","Resolved"),IF(G199="","Unassigned",IF(OR(I199="",H199="",F199="",J199="",K199=""),"Missing action / evidence",IF(K199&lt;'Dashboard'!$B$4,"Action overdue","Open action"))))))</x:f>
      </x:c>
      <x:c r="O199" s="6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 ht="23" customHeight="1">
      <x:c r="A200" s="6"/>
      <x:c r="B200" s="6"/>
      <x:c r="C200" s="6"/>
      <x:c r="D200" s="6"/>
      <x:c r="E200" s="6"/>
      <x:c r="F200" s="6"/>
      <x:c r="G200" s="6"/>
      <x:c r="H200" s="7"/>
      <x:c r="I200" s="6"/>
      <x:c r="J200" s="6"/>
      <x:c r="K200" s="7"/>
      <x:c r="L200" s="7"/>
      <x:c r="M200" s="6"/>
      <x:c r="N200" s="9" t="str">
        <x:f>IF(A200="","",IF(COUNTIFS($A$6:$A$205,A200)&gt;1,"Duplicate issue ID",IF(I200="Resolved",IF(OR(L200="",M200=""),"Resolution evidence gap","Resolved"),IF(G200="","Unassigned",IF(OR(I200="",H200="",F200="",J200="",K200=""),"Missing action / evidence",IF(K200&lt;'Dashboard'!$B$4,"Action overdue","Open action"))))))</x:f>
      </x:c>
      <x:c r="O200" s="6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 ht="23" customHeight="1">
      <x:c r="A201" s="6"/>
      <x:c r="B201" s="6"/>
      <x:c r="C201" s="6"/>
      <x:c r="D201" s="6"/>
      <x:c r="E201" s="6"/>
      <x:c r="F201" s="6"/>
      <x:c r="G201" s="6"/>
      <x:c r="H201" s="7"/>
      <x:c r="I201" s="6"/>
      <x:c r="J201" s="6"/>
      <x:c r="K201" s="7"/>
      <x:c r="L201" s="7"/>
      <x:c r="M201" s="6"/>
      <x:c r="N201" s="9" t="str">
        <x:f>IF(A201="","",IF(COUNTIFS($A$6:$A$205,A201)&gt;1,"Duplicate issue ID",IF(I201="Resolved",IF(OR(L201="",M201=""),"Resolution evidence gap","Resolved"),IF(G201="","Unassigned",IF(OR(I201="",H201="",F201="",J201="",K201=""),"Missing action / evidence",IF(K201&lt;'Dashboard'!$B$4,"Action overdue","Open action"))))))</x:f>
      </x:c>
      <x:c r="O201" s="6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 ht="23" customHeight="1">
      <x:c r="A202" s="6"/>
      <x:c r="B202" s="6"/>
      <x:c r="C202" s="6"/>
      <x:c r="D202" s="6"/>
      <x:c r="E202" s="6"/>
      <x:c r="F202" s="6"/>
      <x:c r="G202" s="6"/>
      <x:c r="H202" s="7"/>
      <x:c r="I202" s="6"/>
      <x:c r="J202" s="6"/>
      <x:c r="K202" s="7"/>
      <x:c r="L202" s="7"/>
      <x:c r="M202" s="6"/>
      <x:c r="N202" s="9" t="str">
        <x:f>IF(A202="","",IF(COUNTIFS($A$6:$A$205,A202)&gt;1,"Duplicate issue ID",IF(I202="Resolved",IF(OR(L202="",M202=""),"Resolution evidence gap","Resolved"),IF(G202="","Unassigned",IF(OR(I202="",H202="",F202="",J202="",K202=""),"Missing action / evidence",IF(K202&lt;'Dashboard'!$B$4,"Action overdue","Open action"))))))</x:f>
      </x:c>
      <x:c r="O202" s="6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 ht="23" customHeight="1">
      <x:c r="A203" s="6"/>
      <x:c r="B203" s="6"/>
      <x:c r="C203" s="6"/>
      <x:c r="D203" s="6"/>
      <x:c r="E203" s="6"/>
      <x:c r="F203" s="6"/>
      <x:c r="G203" s="6"/>
      <x:c r="H203" s="7"/>
      <x:c r="I203" s="6"/>
      <x:c r="J203" s="6"/>
      <x:c r="K203" s="7"/>
      <x:c r="L203" s="7"/>
      <x:c r="M203" s="6"/>
      <x:c r="N203" s="9" t="str">
        <x:f>IF(A203="","",IF(COUNTIFS($A$6:$A$205,A203)&gt;1,"Duplicate issue ID",IF(I203="Resolved",IF(OR(L203="",M203=""),"Resolution evidence gap","Resolved"),IF(G203="","Unassigned",IF(OR(I203="",H203="",F203="",J203="",K203=""),"Missing action / evidence",IF(K203&lt;'Dashboard'!$B$4,"Action overdue","Open action"))))))</x:f>
      </x:c>
      <x:c r="O203" s="6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 ht="23" customHeight="1">
      <x:c r="A204" s="6"/>
      <x:c r="B204" s="6"/>
      <x:c r="C204" s="6"/>
      <x:c r="D204" s="6"/>
      <x:c r="E204" s="6"/>
      <x:c r="F204" s="6"/>
      <x:c r="G204" s="6"/>
      <x:c r="H204" s="7"/>
      <x:c r="I204" s="6"/>
      <x:c r="J204" s="6"/>
      <x:c r="K204" s="7"/>
      <x:c r="L204" s="7"/>
      <x:c r="M204" s="6"/>
      <x:c r="N204" s="9" t="str">
        <x:f>IF(A204="","",IF(COUNTIFS($A$6:$A$205,A204)&gt;1,"Duplicate issue ID",IF(I204="Resolved",IF(OR(L204="",M204=""),"Resolution evidence gap","Resolved"),IF(G204="","Unassigned",IF(OR(I204="",H204="",F204="",J204="",K204=""),"Missing action / evidence",IF(K204&lt;'Dashboard'!$B$4,"Action overdue","Open action"))))))</x:f>
      </x:c>
      <x:c r="O204" s="6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 ht="23" customHeight="1">
      <x:c r="A205" s="6"/>
      <x:c r="B205" s="6"/>
      <x:c r="C205" s="6"/>
      <x:c r="D205" s="6"/>
      <x:c r="E205" s="6"/>
      <x:c r="F205" s="6"/>
      <x:c r="G205" s="6"/>
      <x:c r="H205" s="7"/>
      <x:c r="I205" s="6"/>
      <x:c r="J205" s="6"/>
      <x:c r="K205" s="7"/>
      <x:c r="L205" s="7"/>
      <x:c r="M205" s="6"/>
      <x:c r="N205" s="9" t="str">
        <x:f>IF(A205="","",IF(COUNTIFS($A$6:$A$205,A205)&gt;1,"Duplicate issue ID",IF(I205="Resolved",IF(OR(L205="",M205=""),"Resolution evidence gap","Resolved"),IF(G205="","Unassigned",IF(OR(I205="",H205="",F205="",J205="",K205=""),"Missing action / evidence",IF(K205&lt;'Dashboard'!$B$4,"Action overdue","Open action"))))))</x:f>
      </x:c>
      <x:c r="O205" s="6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</x:sheetData>
  <x:conditionalFormatting sqref="N6:N205">
    <x:cfRule type="containsText" dxfId="13" priority="1" operator="containsText" text="gap"/>
    <x:cfRule type="containsText" dxfId="14" priority="2" operator="containsText" text="Unassigned"/>
    <x:cfRule type="containsText" dxfId="15" priority="3" operator="containsText" text="Missing"/>
    <x:cfRule type="containsText" dxfId="16" priority="4" operator="containsText" text="overdue"/>
    <x:cfRule type="containsText" dxfId="17" priority="5" operator="containsText" text="Duplicate"/>
  </x:conditionalFormatting>
  <x:dataValidations count="4">
    <x:dataValidation type="list" sqref="D6:D205">
      <x:formula1>"Sampling,Staff identification,Provider handoff,Client contact,Arise mapping,Manual copy,SPARS entry,Access,Management reporting"</x:formula1>
    </x:dataValidation>
    <x:dataValidation type="list" sqref="E6:E205">
      <x:formula1>"C-SSRS,PHQ-9,AUDIT,Fourth assessment unconfirmed,Support C,Sample flag,Copy alignment,Access,Other"</x:formula1>
    </x:dataValidation>
    <x:dataValidation type="list" sqref="I6:I205">
      <x:formula1>"Open,In progress,Waiting,Resolved"</x:formula1>
    </x:dataValidation>
    <x:dataValidation type="list" sqref="O6:O205">
      <x:formula1>"Not located,Not performed (confirmed),Client declined,Question declined,Not returned,Mapping unresolved,Copy mismatch,Unknown,Not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b52662c5264d55"/>
  </x:tableParts>
</x:worksheet>
</file>

<file path=xl/worksheets/sheet5.xml><?xml version="1.0" encoding="utf-8"?>
<x:worksheet xmlns:x="http://schemas.openxmlformats.org/spreadsheetml/2006/main">
  <x:sheetPr>
    <x:tabColor rgb="FF8A9AA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69" hidden="0" customWidth="1"/>
    <x:col min="4" max="4" width="6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3" customHeight="1">
      <x:c r="A2" s="2" t="str">
        <x:v>Source account and design assumptions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3" customHeight="1">
      <x:c r="A3" s="1" t="str">
        <x:v>Source document</x:v>
      </x:c>
      <x:c r="B3" s="1" t="str">
        <x:v>ccbhc training, September 9, 2026</x:v>
      </x:c>
      <x:c r="C3" s="1" t="str">
        <x:v>https://docs.google.com/document/d/1nl4EpwOXYmhI5czQc7cMUIkvcknubJCkibWzjaFLBHY/edit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3" customHeight="1">
      <x:c r="A4" s="1" t="str">
        <x:v>Attribution limit</x:v>
      </x:c>
      <x:c r="B4" s="1"/>
      <x:c r="C4" s="1" t="str">
        <x:v>The source is a secondary writeout with assistant commentary, not a verbatim Gus transcript.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30" customHeight="1">
      <x:c r="A6" s="4" t="str">
        <x:v>Evidence class</x:v>
      </x:c>
      <x:c r="B6" s="4" t="str">
        <x:v>Topic</x:v>
      </x:c>
      <x:c r="C6" s="4" t="str">
        <x:v>Account or proposal</x:v>
      </x:c>
      <x:c r="D6" s="4" t="str">
        <x:v>Boundary / coordinator action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77" customHeight="1">
      <x:c r="A7" s="17" t="str">
        <x:v>Reported account</x:v>
      </x:c>
      <x:c r="B7" s="17" t="str">
        <x:v>Arise</x:v>
      </x:c>
      <x:c r="C7" s="17" t="str">
        <x:v>EHR source for charts, age/version selection and assessments. Access request was going through Jason.</x:v>
      </x:c>
      <x:c r="D7" s="17" t="str">
        <x:v>Verify current access. Do not treat historical access status as current.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77" customHeight="1">
      <x:c r="A8" s="17" t="str">
        <x:v>Reported account</x:v>
      </x:c>
      <x:c r="B8" s="17" t="str">
        <x:v>SPARS</x:v>
      </x:c>
      <x:c r="C8" s="17" t="str">
        <x:v>Separate federal submission system; account described CCBHC and MAT purposes. Dashboard reportedly counts A, not C.</x:v>
      </x:c>
      <x:c r="D8" s="17" t="str">
        <x:v>Use CCBHC scope. SPARS field applicability and receipt conventions need confirmation.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77" customHeight="1">
      <x:c r="A9" s="17" t="str">
        <x:v>Reported account</x:v>
      </x:c>
      <x:c r="B9" s="17" t="str">
        <x:v>SharePoint</x:v>
      </x:c>
      <x:c r="C9" s="17" t="str">
        <x:v>Cloud tracker and documents; parent CCBHC folder access needed. NOMS 2024 described as an old instrument folder.</x:v>
      </x:c>
      <x:c r="D9" s="17" t="str">
        <x:v>Record access gaps in Issues. Preserve existing source files and versions.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77" customHeight="1">
      <x:c r="A10" s="17" t="str">
        <x:v>Reported account</x:v>
      </x:c>
      <x:c r="B10" s="17" t="str">
        <x:v>Sampling</x:v>
      </x:c>
      <x:c r="C10" s="17" t="str">
        <x:v>Every new client entered. Count down ten from the previous selection/entry. Sample described as approximately 10%.</x:v>
      </x:c>
      <x:c r="D10" s="17" t="str">
        <x:v>Confirm ordering, anchor, eligibility, exclusions and catch-up rules. No automatic sample selection here.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77" customHeight="1">
      <x:c r="A11" s="17" t="str">
        <x:v>Reported account</x:v>
      </x:c>
      <x:c r="B11" s="17" t="str">
        <x:v>Support A versus C</x:v>
      </x:c>
      <x:c r="C11" s="17" t="str">
        <x:v>Yellow meant C sent to provider and unreturned. A still completed regardless.</x:v>
      </x:c>
      <x:c r="D11" s="17" t="str">
        <x:v>Separate instrument rows preserve independent progress.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77" customHeight="1">
      <x:c r="A12" s="17" t="str">
        <x:v>Reported account</x:v>
      </x:c>
      <x:c r="B12" s="17" t="str">
        <x:v>Cycles and versions</x:v>
      </x:c>
      <x:c r="C12" s="17" t="str">
        <x:v>Baseline, six months, annual and closeout. Adult and child/caregiver versions; check age in Arise.</x:v>
      </x:c>
      <x:c r="D12" s="17" t="str">
        <x:v>Confirm date anchor, exact window, age cutoff and version transition. No automatic due dates or age rules.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77" customHeight="1">
      <x:c r="A13" s="17" t="str">
        <x:v>Reported account</x:v>
      </x:c>
      <x:c r="B13" s="17" t="str">
        <x:v>Return window</x:v>
      </x:c>
      <x:c r="C13" s="17" t="str">
        <x:v>Roughly weeks to a month was described for collecting C.</x:v>
      </x:c>
      <x:c r="D13" s="17" t="str">
        <x:v>Approximation is not an enforceable deadline. Record confirmed due date and authority per task.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77" customHeight="1">
      <x:c r="A14" s="17" t="str">
        <x:v>Reported account</x:v>
      </x:c>
      <x:c r="B14" s="17" t="str">
        <x:v>Assessments</x:v>
      </x:c>
      <x:c r="C14" s="17" t="str">
        <x:v>C-SSRS, PHQ-9, AUDIT, plus a fourth assessment still being named.</x:v>
      </x:c>
      <x:c r="D14" s="17" t="str">
        <x:v>Issues supports each named assessment and Fourth assessment unconfirmed. Do not invent the fourth.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77" customHeight="1">
      <x:c r="A15" s="17" t="str">
        <x:v>Reported account</x:v>
      </x:c>
      <x:c r="B15" s="17" t="str">
        <x:v>Arise mapping</x:v>
      </x:c>
      <x:c r="C15" s="17" t="str">
        <x:v>Consolidated forms can leave expected standalone assessments looking incomplete despite data elsewhere. IT remapping described.</x:v>
      </x:c>
      <x:c r="D15" s="17" t="str">
        <x:v>Not located is not proof not performed. Log location checked and missing field. Verify allowed SPARS missing-data code.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77" customHeight="1">
      <x:c r="A16" s="17" t="str">
        <x:v>Reported account</x:v>
      </x:c>
      <x:c r="B16" s="17" t="str">
        <x:v>Manual copying</x:v>
      </x:c>
      <x:c r="C16" s="17" t="str">
        <x:v>One column at a time; multi-column paste reportedly scrambles alignment. About 15 minutes per batch; spot-check rows 1, 5, 10.</x:v>
      </x:c>
      <x:c r="D16" s="17" t="str">
        <x:v>This describes Gus’s process; it does not establish a measured error rate.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 ht="77" customHeight="1">
      <x:c r="A17" s="17" t="str">
        <x:v>Reported account</x:v>
      </x:c>
      <x:c r="B17" s="17" t="str">
        <x:v>Collection rates</x:v>
      </x:c>
      <x:c r="C17" s="17" t="str">
        <x:v>C roughly 40%; MAT over 80% with in-person peer assistance.</x:v>
      </x:c>
      <x:c r="D17" s="17" t="str">
        <x:v>Approximate contextual comparisons. Periods, denominators and comparability unknown; no target imported.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 ht="77" customHeight="1">
      <x:c r="A18" s="17" t="str">
        <x:v>Reported account</x:v>
      </x:c>
      <x:c r="B18" s="17" t="str">
        <x:v>Sample identification</x:v>
      </x:c>
      <x:c r="C18" s="17" t="str">
        <x:v>Arise initially did not reliably identify sampled clients to staff; catch-up collection described.</x:v>
      </x:c>
      <x:c r="D18" s="17" t="str">
        <x:v>Use visible/not visible/not checked for sample flag. Confirm present behavior with current cases.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 ht="77" customHeight="1">
      <x:c r="A19" s="17" t="str">
        <x:v>Reported account</x:v>
      </x:c>
      <x:c r="B19" s="17" t="str">
        <x:v>Management presentation</x:v>
      </x:c>
      <x:c r="C19" s="17" t="str">
        <x:v>October leadership reporting includes performance and examples of program success.</x:v>
      </x:c>
      <x:c r="D19" s="17" t="str">
        <x:v>Operational counts alone do not demonstrate clinical improvement. Meeting date and reporting period remain unconfirmed.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 ht="77" customHeight="1">
      <x:c r="A20" s="17" t="str">
        <x:v>Assistant commentary</x:v>
      </x:c>
      <x:c r="B20" s="17" t="str">
        <x:v>Collection redesign</x:v>
      </x:c>
      <x:c r="C20" s="17" t="str">
        <x:v>Source commentary suggests encounter-based collection may explain MAT’s better returns.</x:v>
      </x:c>
      <x:c r="D20" s="17" t="str">
        <x:v>Hypothesis only. Any trial needs local ownership and comparable collection definitions.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 ht="77" customHeight="1">
      <x:c r="A21" s="17" t="str">
        <x:v>Assistant commentary</x:v>
      </x:c>
      <x:c r="B21" s="17" t="str">
        <x:v>Effective yield</x:v>
      </x:c>
      <x:c r="C21" s="17" t="str">
        <x:v>The source discusses approximately 1% usable longitudinal yield as an illustration.</x:v>
      </x:c>
      <x:c r="D21" s="17" t="str">
        <x:v>Do not report it as an observed population statistic. Compute from a verified paired dataset if required.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 ht="77" customHeight="1">
      <x:c r="A22" s="17" t="str">
        <x:v>Proposed design</x:v>
      </x:c>
      <x:c r="B22" s="17" t="str">
        <x:v>Roster grain</x:v>
      </x:c>
      <x:c r="C22" s="17" t="str">
        <x:v>One record per client. Work queue has one task per client + cycle + anchor date + instrument.</x:v>
      </x:c>
      <x:c r="D22" s="17" t="str">
        <x:v>Roster includes selected, not selected and pending review. Create both A and C tasks only when confirmed applicable.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 ht="77" customHeight="1">
      <x:c r="A23" s="17" t="str">
        <x:v>Proposed design</x:v>
      </x:c>
      <x:c r="B23" s="17" t="str">
        <x:v>Date status</x:v>
      </x:c>
      <x:c r="C23" s="17" t="str">
        <x:v>Overdue: open collection with confirmed due date before as-of. Due soon includes as-of through horizon.</x:v>
      </x:c>
      <x:c r="D23" s="17" t="str">
        <x:v>Complete, Declined and Closed without data end collection only. Received partial and Unable to reach remain open.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 ht="77" customHeight="1">
      <x:c r="A24" s="17" t="str">
        <x:v>Proposed design</x:v>
      </x:c>
      <x:c r="B24" s="17" t="str">
        <x:v>Handoffs</x:v>
      </x:c>
      <x:c r="C24" s="17" t="str">
        <x:v>Owner, sent date, acknowledgement, last contact, next action and action date make handoffs visible.</x:v>
      </x:c>
      <x:c r="D24" s="17" t="str">
        <x:v>Flags identify items to investigate. Only evidence in Issues supports a specific failure finding.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 ht="77" customHeight="1">
      <x:c r="A25" s="17" t="str">
        <x:v>Proposed design</x:v>
      </x:c>
      <x:c r="B25" s="17" t="str">
        <x:v>Source validation</x:v>
      </x:c>
      <x:c r="C25" s="17" t="str">
        <x:v>Not checked / Verified / Missing items / Mapping unresolved / Copy mismatch.</x:v>
      </x:c>
      <x:c r="D25" s="17" t="str">
        <x:v>Verified requires comparing source identity and fields. Issue rows record each unresolved item and location.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 ht="77" customHeight="1">
      <x:c r="A26" s="17" t="str">
        <x:v>Proposed design</x:v>
      </x:c>
      <x:c r="B26" s="17" t="str">
        <x:v>Copy control</x:v>
      </x:c>
      <x:c r="C26" s="17" t="str">
        <x:v>Keep batch reference and source sequence; verify identity and alignment before Source review = Verified.</x:v>
      </x:c>
      <x:c r="D26" s="17" t="str">
        <x:v>Reconcile source and destination row counts, IDs and key values across the batch. Do not rely only on row position after sorting.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 ht="77" customHeight="1">
      <x:c r="A27" s="17" t="str">
        <x:v>Proposed design</x:v>
      </x:c>
      <x:c r="B27" s="17" t="str">
        <x:v>SPARS status</x:v>
      </x:c>
      <x:c r="C27" s="17" t="str">
        <x:v>Separate collection from Not ready, Ready, Entered unverified, Verified submitted, Correction needed or Not applicable.</x:v>
      </x:c>
      <x:c r="D27" s="17" t="str">
        <x:v>Verified submitted needs receipt date and evidence. Not applicable needs a documented basis in the exception field.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 ht="77" customHeight="1">
      <x:c r="A28" s="17" t="str">
        <x:v>Proposed design</x:v>
      </x:c>
      <x:c r="B28" s="17" t="str">
        <x:v>Local C receipt share</x:v>
      </x:c>
      <x:c r="C28" s="17" t="str">
        <x:v>Numerator: partial or complete C tasks received by as-of. Denominator: all C tasks with confirmed due dates in selected period.</x:v>
      </x:c>
      <x:c r="D28" s="17" t="str">
        <x:v>Zero denominator returns n.a. Declines and closed-without-data stay in denominator. This is not the official follow-up rate.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 ht="77" customHeight="1">
      <x:c r="A29" s="17" t="str">
        <x:v>Proposed design</x:v>
      </x:c>
      <x:c r="B29" s="17" t="str">
        <x:v>Minimum identity</x:v>
      </x:c>
      <x:c r="C29" s="17" t="str">
        <x:v>Use stable agency Client IDs. No names, DOBs, diagnoses or clinical scores are required for this starter.</x:v>
      </x:c>
      <x:c r="D29" s="17" t="str">
        <x:v>Keep source evidence pointers within agency-approved workflows. Dashboard aggregates contain no patient identifiers.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 ht="77" customHeight="1">
      <x:c r="A30" s="17" t="str">
        <x:v>Needs verification</x:v>
      </x:c>
      <x:c r="B30" s="17" t="str">
        <x:v>Before upward reporting</x:v>
      </x:c>
      <x:c r="C30" s="17" t="str">
        <x:v>Confirm complete roster/task coverage, sample rules, collection dates, official denominator, missing codes and SPARS acceptance evidence.</x:v>
      </x:c>
      <x:c r="D30" s="17" t="str">
        <x:v>Resolve duplicate flags. Distinguish one client from repeated instrument-cycle tasks.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 ht="77" customHeight="1">
      <x:c r="A31" s="17" t="str">
        <x:v>Needs verification</x:v>
      </x:c>
      <x:c r="B31" s="17" t="str">
        <x:v>Access and reporting scope</x:v>
      </x:c>
      <x:c r="C31" s="17" t="str">
        <x:v>Confirm Arise, SPARS and parent SharePoint access; Excel version history; fourth assessment; October presentation date.</x:v>
      </x:c>
      <x:c r="D31" s="17" t="str">
        <x:v>Treat each as an unresolved question, not an established defect or assigned commitment.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 ht="30" customHeight="1">
      <x:c r="A35" s="4" t="str">
        <x:v>Use</x:v>
      </x:c>
      <x:c r="B35" s="4" t="str">
        <x:v>Area</x:v>
      </x:c>
      <x:c r="C35" s="4" t="str">
        <x:v>Instructions</x:v>
      </x:c>
      <x:c r="D35" s="4" t="str">
        <x:v>Limit / definition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 ht="77" customHeight="1">
      <x:c r="A36" s="17" t="str">
        <x:v>Start</x:v>
      </x:c>
      <x:c r="B36" s="17" t="str">
        <x:v>Enter data</x:v>
      </x:c>
      <x:c r="C36" s="17" t="str">
        <x:v>Use rows 6–205 on Roster, Work queue and Issues. No client data or example cases are included.</x:v>
      </x:c>
      <x:c r="D36" s="17" t="str">
        <x:v>200 preformatted rows per input tab. Summary ranges stop at row 205.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 ht="77" customHeight="1">
      <x:c r="A37" s="17" t="str">
        <x:v>Maintain</x:v>
      </x:c>
      <x:c r="B37" s="17" t="str">
        <x:v>Capacity</x:v>
      </x:c>
      <x:c r="C37" s="17" t="str">
        <x:v>Before exceeding row 205, extend each table, formulas, validations, formatting and all bounded summary/lookup ranges.</x:v>
      </x:c>
      <x:c r="D37" s="17" t="str">
        <x:v>Adding an Excel table row alone does not extend the dashboard’s bounded formulas.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 ht="77" customHeight="1">
      <x:c r="A38" s="17" t="str">
        <x:v>Maintain</x:v>
      </x:c>
      <x:c r="B38" s="17" t="str">
        <x:v>Snapshot</x:v>
      </x:c>
      <x:c r="C38" s="17" t="str">
        <x:v>Set Dashboard as-of and cohort start/end. Counts reflect current status, not a reconstructed historical state.</x:v>
      </x:c>
      <x:c r="D38" s="17" t="str">
        <x:v>Save a dated copy for each management report; later edits otherwise change the snapshot.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 ht="77" customHeight="1">
      <x:c r="A39" s="17" t="str">
        <x:v>Daily use</x:v>
      </x:c>
      <x:c r="B39" s="17" t="str">
        <x:v>Roster fields</x:v>
      </x:c>
      <x:c r="C39" s="17" t="str">
        <x:v>Client ID, site, entry date, source sequence, sample decision/date/basis, Arise sample flag, coordinator, source batch and verification date.</x:v>
      </x:c>
      <x:c r="D39" s="17" t="str">
        <x:v>Record check flags missing core fields and duplicate IDs. Never sort one copied column independently.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 ht="77" customHeight="1">
      <x:c r="A40" s="17" t="str">
        <x:v>Daily use</x:v>
      </x:c>
      <x:c r="B40" s="17" t="str">
        <x:v>Task identity</x:v>
      </x:c>
      <x:c r="C40" s="17" t="str">
        <x:v>Task ID, Client ID, cycle, cycle anchor, instrument and version identify each obligation. Site looks up from Roster.</x:v>
      </x:c>
      <x:c r="D40" s="17" t="str">
        <x:v>Anchor identifies the cycle; it does not calculate a deadline. Needs verification version remains a record gap.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 ht="77" customHeight="1">
      <x:c r="A41" s="17" t="str">
        <x:v>Daily use</x:v>
      </x:c>
      <x:c r="B41" s="17" t="str">
        <x:v>Task dates</x:v>
      </x:c>
      <x:c r="C41" s="17" t="str">
        <x:v>Owner, due date and authority, sent/acknowledged/offered/received dates, last contact, next action/date and last verified.</x:v>
      </x:c>
      <x:c r="D41" s="17" t="str">
        <x:v>Sent is a handoff to staff; Offered is an actual survey offer to client. Partial receipt is not complete.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 ht="77" customHeight="1">
      <x:c r="A42" s="17" t="str">
        <x:v>Daily use</x:v>
      </x:c>
      <x:c r="B42" s="17" t="str">
        <x:v>Task evidence</x:v>
      </x:c>
      <x:c r="C42" s="17" t="str">
        <x:v>Source review + evidence/batch; SPARS status + receipt date + evidence/exception.</x:v>
      </x:c>
      <x:c r="D42" s="17" t="str">
        <x:v>Record check is a completeness aid, not validation of clinical data or official reporting eligibility.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 ht="77" customHeight="1">
      <x:c r="A43" s="17" t="str">
        <x:v>Daily use</x:v>
      </x:c>
      <x:c r="B43" s="17" t="str">
        <x:v>View: due work</x:v>
      </x:c>
      <x:c r="C43" s="17" t="str">
        <x:v>Work queue filter Due view = Overdue, Due soon or Date unverified. Sort Due date ascending.</x:v>
      </x:c>
      <x:c r="D43" s="17" t="str">
        <x:v>Other filters remain available: Site, Owner, Instrument, Cycle, Collection status and SPARS status.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 ht="77" customHeight="1">
      <x:c r="A44" s="17" t="str">
        <x:v>Daily use</x:v>
      </x:c>
      <x:c r="B44" s="17" t="str">
        <x:v>View: handoffs</x:v>
      </x:c>
      <x:c r="C44" s="17" t="str">
        <x:v>Filter Handoff view for Unassigned, Awaiting acknowledgement, Action date passed or Next action missing.</x:v>
      </x:c>
      <x:c r="D44" s="17" t="str">
        <x:v>The first applicable flag is displayed. Review all action fields and Issues for concurrent problems.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 ht="77" customHeight="1">
      <x:c r="A45" s="17" t="str">
        <x:v>Daily use</x:v>
      </x:c>
      <x:c r="B45" s="17" t="str">
        <x:v>View: missing data</x:v>
      </x:c>
      <x:c r="C45" s="17" t="str">
        <x:v>Filter Source review for Missing items, Mapping unresolved or Copy mismatch. In Issues, select Missing reason and identify the item.</x:v>
      </x:c>
      <x:c r="D45" s="17" t="str">
        <x:v>Use one issue per assessment/field gap. Include source location checked; distinguish not found, not done, declined and unknown in evidence.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 ht="77" customHeight="1">
      <x:c r="A46" s="17" t="str">
        <x:v>Daily use</x:v>
      </x:c>
      <x:c r="B46" s="17" t="str">
        <x:v>View: submissions</x:v>
      </x:c>
      <x:c r="C46" s="17" t="str">
        <x:v>Filter SPARS status = Ready, Entered unverified or Correction needed.</x:v>
      </x:c>
      <x:c r="D46" s="17" t="str">
        <x:v>A collection-closed task may still need submission. No formula automatically asserts Ready.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 ht="77" customHeight="1">
      <x:c r="A47" s="17" t="str">
        <x:v>Daily use</x:v>
      </x:c>
      <x:c r="B47" s="17" t="str">
        <x:v>Issues fields</x:v>
      </x:c>
      <x:c r="C47" s="17" t="str">
        <x:v>Issue ID, linked task/client/batch, scope, stage, item, observed evidence, owner, opened/status/action/due/resolution evidence.</x:v>
      </x:c>
      <x:c r="D47" s="17" t="str">
        <x:v>Resolved requires date and evidence. Record failed handoff observations without assigning motive or blame.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 ht="77" customHeight="1">
      <x:c r="A48" s="17" t="str">
        <x:v>Report</x:v>
      </x:c>
      <x:c r="B48" s="17" t="str">
        <x:v>October narrative</x:v>
      </x:c>
      <x:c r="C48" s="17" t="str">
        <x:v>Report period and coverage, sample counts, separate A/C work, submission verification, unresolved barriers and decisions needed.</x:v>
      </x:c>
      <x:c r="D48" s="17" t="str">
        <x:v>Add supported success stories and matched outcomes separately. This workbook has no clinical outcome dataset.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 ht="77" customHeight="1">
      <x:c r="A49" s="17" t="str">
        <x:v>Definition</x:v>
      </x:c>
      <x:c r="B49" s="17" t="str">
        <x:v>As-of limitations</x:v>
      </x:c>
      <x:c r="C49" s="17" t="str">
        <x:v>Receipt counts require a recorded completion/receipt date on or before as-of. Cohort membership follows confirmed due date.</x:v>
      </x:c>
      <x:c r="D49" s="17" t="str">
        <x:v>Current statuses govern collection closure. Future-dated edits and historical status changes require review before a snapshot.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 ht="77" customHeight="1">
      <x:c r="A50" s="17" t="str">
        <x:v>Definition</x:v>
      </x:c>
      <x:c r="B50" s="17" t="str">
        <x:v>Collection states</x:v>
      </x:c>
      <x:c r="C50" s="17" t="str">
        <x:v>Not started; In progress; Awaiting return; Received partial; Complete; Declined; Unable to reach; Closed without data.</x:v>
      </x:c>
      <x:c r="D50" s="17" t="str">
        <x:v>Declined is explicit refusal. Unable to reach remains open until a documented closure decision. Closed without data needs an issue/exception record.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 ht="77" customHeight="1">
      <x:c r="A51" s="17" t="str">
        <x:v>License</x:v>
      </x:c>
      <x:c r="B51" s="17" t="str">
        <x:v>CC0</x:v>
      </x:c>
      <x:c r="C51" s="17" t="str">
        <x:v>Original workbook layout, formulas and proposed design: CC0.</x:v>
      </x:c>
      <x:c r="D51" s="17" t="str">
        <x:v>Source account retains its attribution. No claim of authorship over Gus’s account or agency records.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</x:sheetData>
  <x:pageMargins left="0.7" right="0.7" top="0.75" bottom="0.75" header="0.3" footer="0.3"/>
</x:worksheet>
</file>